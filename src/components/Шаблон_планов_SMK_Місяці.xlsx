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Code\compass — копия\src\components\"/>
    </mc:Choice>
  </mc:AlternateContent>
  <xr:revisionPtr revIDLastSave="0" documentId="13_ncr:1_{900CA9B6-93FE-413A-8006-091EF483008E}" xr6:coauthVersionLast="47" xr6:coauthVersionMax="47" xr10:uidLastSave="{00000000-0000-0000-0000-000000000000}"/>
  <bookViews>
    <workbookView xWindow="14112" yWindow="6000" windowWidth="30012" windowHeight="18360" activeTab="2" xr2:uid="{00000000-000D-0000-FFFF-FFFF00000000}"/>
  </bookViews>
  <sheets>
    <sheet name="Бали" sheetId="1" r:id="rId1"/>
    <sheet name="Цілі" sheetId="2" r:id="rId2"/>
    <sheet name="Лист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<sst xmlns="http://schemas.openxmlformats.org/spreadsheetml/2006/main" count="155" uniqueCount="71">
  <si>
    <t>Ключ</t>
  </si>
  <si>
    <t>Название</t>
  </si>
  <si>
    <t>Макс. балл</t>
  </si>
  <si>
    <t>Тип</t>
  </si>
  <si>
    <t>Описание</t>
  </si>
  <si>
    <t>turnover</t>
  </si>
  <si>
    <t>Оборот</t>
  </si>
  <si>
    <t>positive</t>
  </si>
  <si>
    <t>Показатель: Оборот</t>
  </si>
  <si>
    <t>losses</t>
  </si>
  <si>
    <t>Списання</t>
  </si>
  <si>
    <t>negative</t>
  </si>
  <si>
    <t>Показатель: Списання</t>
  </si>
  <si>
    <t>shortages</t>
  </si>
  <si>
    <t>Нестачі</t>
  </si>
  <si>
    <t>Показатель: Нестачі</t>
  </si>
  <si>
    <t>fop</t>
  </si>
  <si>
    <t>ФОП</t>
  </si>
  <si>
    <t>Показатель: ФОП</t>
  </si>
  <si>
    <t>back_product</t>
  </si>
  <si>
    <t>ID Магазина</t>
  </si>
  <si>
    <t>Название магазина</t>
  </si>
  <si>
    <t>0</t>
  </si>
  <si>
    <t>101 БЦ (ЩЕДРИК)</t>
  </si>
  <si>
    <t>544</t>
  </si>
  <si>
    <t>240 Богодухов (РУЛЬКА)</t>
  </si>
  <si>
    <t>547</t>
  </si>
  <si>
    <t>271 Горького (ЩЕДРИК)</t>
  </si>
  <si>
    <t>548</t>
  </si>
  <si>
    <t>222 Лозовая (РУЛЬКА)</t>
  </si>
  <si>
    <t>552</t>
  </si>
  <si>
    <t>199 Первомайский (РУЛЬКА)</t>
  </si>
  <si>
    <t>555</t>
  </si>
  <si>
    <t>229 Красноград (РУЛЬКА)</t>
  </si>
  <si>
    <t>559</t>
  </si>
  <si>
    <t>220 Ольшаны (РУЛЬКА)</t>
  </si>
  <si>
    <t>565</t>
  </si>
  <si>
    <t>267 Пересичное (РУЛЬКА)</t>
  </si>
  <si>
    <t>569</t>
  </si>
  <si>
    <t>230 Чугуев (РУЛЬКА)</t>
  </si>
  <si>
    <t>719</t>
  </si>
  <si>
    <t>100 БЦ (РУЛЬКА)</t>
  </si>
  <si>
    <t>741</t>
  </si>
  <si>
    <t>108 Киев (РУЛЬКА)</t>
  </si>
  <si>
    <t>752</t>
  </si>
  <si>
    <t>001 Днепр (РУЛЬКА)</t>
  </si>
  <si>
    <t>00</t>
  </si>
  <si>
    <t>102 БЦ (РУЛЬКА)</t>
  </si>
  <si>
    <t>000</t>
  </si>
  <si>
    <t>87 БЦ (ЩЕДРИК) Грушевского</t>
  </si>
  <si>
    <t>0000</t>
  </si>
  <si>
    <t>210 Люботин (ЩЕДРИК)</t>
  </si>
  <si>
    <t>00000</t>
  </si>
  <si>
    <t>235 Харьков (РУЛЬКА)</t>
  </si>
  <si>
    <t>000000</t>
  </si>
  <si>
    <t>282 Максимовка (ЩЕДРИК)</t>
  </si>
  <si>
    <t>Повернення</t>
  </si>
  <si>
    <t>Показатель: Повернення</t>
  </si>
  <si>
    <t>ПЛАН</t>
  </si>
  <si>
    <t>ФАКТ</t>
  </si>
  <si>
    <t>Період</t>
  </si>
  <si>
    <t>Регион</t>
  </si>
  <si>
    <t>Магазин</t>
  </si>
  <si>
    <t>Выторг</t>
  </si>
  <si>
    <t>Списания</t>
  </si>
  <si>
    <t>Недост. инвент</t>
  </si>
  <si>
    <t>Зарплаты</t>
  </si>
  <si>
    <t>Белая Церковь</t>
  </si>
  <si>
    <t>Днепр</t>
  </si>
  <si>
    <t>Киев</t>
  </si>
  <si>
    <t>Харьков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</si>
</sst>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_-* #,##0.00_-;\-* #,##0.00_-;_-* &quot;-&quot;??_-;_-@_-"/>
    <numFmt numFmtId="171" formatCode="_-* #,##0_-;\-* #,##0_-;_-* &quot;-&quot;??_-;_-@_-"/>
    <numFmt numFmtId="176" formatCode="0.0%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8"/>
      <name val="Arial"/>
      <family val="2"/>
    </font>
    <font>
      <b/>
      <sz val="10"/>
      <color rgb="FFFFFFFF"/>
      <name val="Arial"/>
      <family val="2"/>
    </font>
    <font>
      <b/>
      <sz val="8"/>
      <color rgb="FF00336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574A0"/>
        <bgColor auto="1"/>
      </patternFill>
    </fill>
    <fill>
      <patternFill patternType="solid">
        <fgColor rgb="FFC6E2FF"/>
        <bgColor auto="1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rgb="FF7D8AB9"/>
      </left>
      <right style="thin">
        <color rgb="FF7D8AB9"/>
      </right>
      <top style="thin">
        <color rgb="FF7D8AB9"/>
      </top>
      <bottom style="thin">
        <color rgb="FF7D8AB9"/>
      </bottom>
      <diagonal/>
    </border>
    <border>
      <left style="thin">
        <color rgb="FFBDC7EB"/>
      </left>
      <right style="thin">
        <color rgb="FFBDC7EB"/>
      </right>
      <top style="thin">
        <color rgb="FFBDC7EB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7D8AB9"/>
      </left>
      <right style="thin">
        <color rgb="FF7D8AB9"/>
      </right>
      <top style="medium">
        <color indexed="64"/>
      </top>
      <bottom style="thin">
        <color rgb="FF7D8AB9"/>
      </bottom>
      <diagonal/>
    </border>
    <border>
      <left style="thin">
        <color rgb="FF7D8AB9"/>
      </left>
      <right style="medium">
        <color indexed="64"/>
      </right>
      <top style="medium">
        <color indexed="64"/>
      </top>
      <bottom style="thin">
        <color rgb="FF7D8AB9"/>
      </bottom>
      <diagonal/>
    </border>
    <border>
      <left style="medium">
        <color indexed="64"/>
      </left>
      <right/>
      <top/>
      <bottom/>
      <diagonal/>
    </border>
    <border>
      <left style="thin">
        <color rgb="FF7D8AB9"/>
      </left>
      <right style="medium">
        <color indexed="64"/>
      </right>
      <top style="thin">
        <color rgb="FF7D8AB9"/>
      </top>
      <bottom style="thin">
        <color rgb="FF7D8AB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7D8AB9"/>
      </left>
      <right style="thin">
        <color rgb="FF7D8AB9"/>
      </right>
      <top style="thin">
        <color rgb="FF7D8AB9"/>
      </top>
      <bottom style="medium">
        <color indexed="64"/>
      </bottom>
      <diagonal/>
    </border>
    <border>
      <left style="thin">
        <color rgb="FF7D8AB9"/>
      </left>
      <right style="medium">
        <color indexed="64"/>
      </right>
      <top style="thin">
        <color rgb="FF7D8AB9"/>
      </top>
      <bottom style="medium">
        <color indexed="64"/>
      </bottom>
      <diagonal/>
    </border>
    <border>
      <left style="thin">
        <color rgb="FFBDC7EB"/>
      </left>
      <right style="thin">
        <color rgb="FFBDC7EB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DC7EB"/>
      </left>
      <right/>
      <top/>
      <bottom/>
      <diagonal/>
    </border>
    <border>
      <left style="medium">
        <color indexed="64"/>
      </left>
      <right style="thin">
        <color rgb="FFBDC7EB"/>
      </right>
      <top style="medium">
        <color indexed="64"/>
      </top>
      <bottom style="medium">
        <color indexed="64"/>
      </bottom>
      <diagonal/>
    </border>
    <border>
      <left style="thin">
        <color rgb="FFBDC7EB"/>
      </left>
      <right style="thin">
        <color rgb="FFBDC7EB"/>
      </right>
      <top style="medium">
        <color indexed="64"/>
      </top>
      <bottom style="medium">
        <color indexed="64"/>
      </bottom>
      <diagonal/>
    </border>
    <border>
      <left style="thin">
        <color rgb="FFBDC7EB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DC7EB"/>
      </left>
      <right/>
      <top style="thin">
        <color rgb="FFBDC7EB"/>
      </top>
      <bottom/>
      <diagonal/>
    </border>
    <border>
      <left/>
      <right style="thin">
        <color rgb="FFBDC7EB"/>
      </right>
      <top/>
      <bottom/>
      <diagonal/>
    </border>
  </borders>
  <cellStyleXfs count="8">
    <xf numFmtId="0" fontId="0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0" fontId="4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  <xf numFmtId="176" fontId="0" fillId="0" borderId="0" xfId="1" applyNumberFormat="1" applyFont="1" applyAlignment="1">
      <alignment horizontal="center"/>
    </xf>
    <xf numFmtId="0" fontId="1" fillId="0" borderId="14" xfId="3" applyBorder="1" applyAlignment="1">
      <alignment horizontal="center"/>
    </xf>
    <xf numFmtId="0" fontId="1" fillId="0" borderId="12" xfId="3" applyBorder="1" applyAlignment="1">
      <alignment horizontal="center"/>
    </xf>
    <xf numFmtId="0" fontId="1" fillId="0" borderId="13" xfId="3" applyBorder="1" applyAlignment="1">
      <alignment horizontal="center"/>
    </xf>
    <xf numFmtId="0" fontId="1" fillId="0" borderId="0" xfId="3"/>
    <xf numFmtId="0" fontId="6" fillId="3" borderId="1" xfId="3" applyFont="1" applyFill="1" applyBorder="1" applyAlignment="1">
      <alignment horizontal="left" vertical="top" wrapText="1"/>
    </xf>
    <xf numFmtId="0" fontId="1" fillId="0" borderId="1" xfId="3" applyBorder="1" applyAlignment="1">
      <alignment horizontal="left" vertical="top" wrapText="1" indent="2"/>
    </xf>
    <xf numFmtId="0" fontId="6" fillId="3" borderId="4" xfId="3" applyFont="1" applyFill="1" applyBorder="1" applyAlignment="1">
      <alignment horizontal="left" vertical="top" wrapText="1"/>
    </xf>
    <xf numFmtId="0" fontId="1" fillId="0" borderId="4" xfId="3" applyBorder="1" applyAlignment="1">
      <alignment horizontal="left" vertical="top" wrapText="1" indent="2"/>
    </xf>
    <xf numFmtId="0" fontId="6" fillId="3" borderId="9" xfId="3" applyFont="1" applyFill="1" applyBorder="1" applyAlignment="1">
      <alignment horizontal="left" vertical="top" wrapText="1"/>
    </xf>
    <xf numFmtId="0" fontId="1" fillId="0" borderId="9" xfId="3" applyBorder="1" applyAlignment="1">
      <alignment horizontal="left" vertical="top" wrapText="1" indent="2"/>
    </xf>
    <xf numFmtId="171" fontId="1" fillId="0" borderId="4" xfId="6" applyNumberFormat="1" applyFont="1" applyBorder="1" applyAlignment="1">
      <alignment horizontal="right" vertical="top"/>
    </xf>
    <xf numFmtId="171" fontId="1" fillId="0" borderId="5" xfId="6" applyNumberFormat="1" applyFont="1" applyBorder="1" applyAlignment="1">
      <alignment horizontal="right" vertical="top"/>
    </xf>
    <xf numFmtId="171" fontId="1" fillId="0" borderId="1" xfId="6" applyNumberFormat="1" applyFont="1" applyBorder="1" applyAlignment="1">
      <alignment horizontal="right" vertical="top"/>
    </xf>
    <xf numFmtId="171" fontId="1" fillId="0" borderId="7" xfId="6" applyNumberFormat="1" applyFont="1" applyBorder="1" applyAlignment="1">
      <alignment horizontal="right" vertical="top"/>
    </xf>
    <xf numFmtId="171" fontId="1" fillId="0" borderId="9" xfId="6" applyNumberFormat="1" applyFont="1" applyBorder="1" applyAlignment="1">
      <alignment horizontal="right" vertical="top"/>
    </xf>
    <xf numFmtId="171" fontId="1" fillId="0" borderId="10" xfId="6" applyNumberFormat="1" applyFont="1" applyBorder="1" applyAlignment="1">
      <alignment horizontal="right" vertical="top"/>
    </xf>
    <xf numFmtId="0" fontId="5" fillId="2" borderId="2" xfId="3" applyFont="1" applyFill="1" applyBorder="1" applyAlignment="1">
      <alignment horizontal="center" vertical="center" wrapText="1"/>
    </xf>
    <xf numFmtId="0" fontId="5" fillId="4" borderId="2" xfId="3" applyFont="1" applyFill="1" applyBorder="1" applyAlignment="1">
      <alignment horizontal="center" vertical="center" wrapText="1"/>
    </xf>
    <xf numFmtId="0" fontId="5" fillId="5" borderId="2" xfId="3" applyFont="1" applyFill="1" applyBorder="1" applyAlignment="1">
      <alignment horizontal="center" vertical="center" wrapText="1"/>
    </xf>
    <xf numFmtId="0" fontId="5" fillId="7" borderId="11" xfId="3" applyFont="1" applyFill="1" applyBorder="1" applyAlignment="1">
      <alignment horizontal="center" vertical="center" wrapText="1"/>
    </xf>
    <xf numFmtId="10" fontId="1" fillId="0" borderId="0" xfId="3" applyNumberFormat="1"/>
    <xf numFmtId="9" fontId="1" fillId="0" borderId="0" xfId="3" applyNumberFormat="1"/>
    <xf numFmtId="10" fontId="1" fillId="0" borderId="3" xfId="7" applyNumberFormat="1" applyFont="1" applyBorder="1" applyAlignment="1">
      <alignment horizontal="center"/>
    </xf>
    <xf numFmtId="10" fontId="1" fillId="0" borderId="15" xfId="7" applyNumberFormat="1" applyFont="1" applyBorder="1" applyAlignment="1">
      <alignment horizontal="center"/>
    </xf>
    <xf numFmtId="10" fontId="1" fillId="0" borderId="15" xfId="7" applyNumberFormat="1" applyFont="1" applyBorder="1"/>
    <xf numFmtId="9" fontId="1" fillId="0" borderId="15" xfId="3" applyNumberFormat="1" applyBorder="1"/>
    <xf numFmtId="9" fontId="1" fillId="0" borderId="16" xfId="3" applyNumberFormat="1" applyBorder="1"/>
    <xf numFmtId="10" fontId="1" fillId="0" borderId="6" xfId="7" applyNumberFormat="1" applyFont="1" applyBorder="1" applyAlignment="1">
      <alignment horizontal="center"/>
    </xf>
    <xf numFmtId="10" fontId="1" fillId="0" borderId="0" xfId="7" applyNumberFormat="1" applyFont="1" applyBorder="1" applyAlignment="1">
      <alignment horizontal="center"/>
    </xf>
    <xf numFmtId="10" fontId="1" fillId="0" borderId="0" xfId="7" applyNumberFormat="1" applyFont="1" applyBorder="1"/>
    <xf numFmtId="9" fontId="1" fillId="0" borderId="17" xfId="3" applyNumberFormat="1" applyBorder="1"/>
    <xf numFmtId="10" fontId="1" fillId="0" borderId="8" xfId="7" applyNumberFormat="1" applyFont="1" applyBorder="1" applyAlignment="1">
      <alignment horizontal="center"/>
    </xf>
    <xf numFmtId="10" fontId="1" fillId="0" borderId="18" xfId="7" applyNumberFormat="1" applyFont="1" applyBorder="1" applyAlignment="1">
      <alignment horizontal="center"/>
    </xf>
    <xf numFmtId="10" fontId="1" fillId="0" borderId="18" xfId="7" applyNumberFormat="1" applyFont="1" applyBorder="1"/>
    <xf numFmtId="9" fontId="1" fillId="0" borderId="18" xfId="3" applyNumberFormat="1" applyBorder="1"/>
    <xf numFmtId="9" fontId="1" fillId="0" borderId="19" xfId="3" applyNumberFormat="1" applyBorder="1"/>
    <xf numFmtId="10" fontId="1" fillId="0" borderId="16" xfId="7" applyNumberFormat="1" applyFont="1" applyBorder="1" applyAlignment="1">
      <alignment horizontal="center"/>
    </xf>
    <xf numFmtId="10" fontId="1" fillId="0" borderId="17" xfId="7" applyNumberFormat="1" applyFont="1" applyBorder="1" applyAlignment="1">
      <alignment horizontal="center"/>
    </xf>
    <xf numFmtId="10" fontId="1" fillId="0" borderId="19" xfId="7" applyNumberFormat="1" applyFont="1" applyBorder="1" applyAlignment="1">
      <alignment horizontal="center"/>
    </xf>
    <xf numFmtId="10" fontId="1" fillId="0" borderId="3" xfId="7" applyNumberFormat="1" applyFont="1" applyBorder="1"/>
    <xf numFmtId="10" fontId="1" fillId="0" borderId="16" xfId="7" applyNumberFormat="1" applyFont="1" applyBorder="1"/>
    <xf numFmtId="10" fontId="1" fillId="0" borderId="6" xfId="7" applyNumberFormat="1" applyFont="1" applyBorder="1"/>
    <xf numFmtId="10" fontId="1" fillId="0" borderId="17" xfId="7" applyNumberFormat="1" applyFont="1" applyBorder="1"/>
    <xf numFmtId="10" fontId="1" fillId="0" borderId="8" xfId="7" applyNumberFormat="1" applyFont="1" applyBorder="1"/>
    <xf numFmtId="10" fontId="1" fillId="0" borderId="19" xfId="7" applyNumberFormat="1" applyFont="1" applyBorder="1"/>
    <xf numFmtId="17" fontId="1" fillId="0" borderId="3" xfId="3" applyNumberFormat="1" applyBorder="1" applyAlignment="1">
      <alignment horizontal="center"/>
    </xf>
    <xf numFmtId="17" fontId="1" fillId="0" borderId="6" xfId="3" applyNumberFormat="1" applyBorder="1" applyAlignment="1">
      <alignment horizontal="center"/>
    </xf>
    <xf numFmtId="17" fontId="1" fillId="0" borderId="8" xfId="3" applyNumberFormat="1" applyBorder="1" applyAlignment="1">
      <alignment horizontal="center"/>
    </xf>
    <xf numFmtId="0" fontId="5" fillId="7" borderId="20" xfId="3" applyFont="1" applyFill="1" applyBorder="1" applyAlignment="1">
      <alignment horizontal="center" vertical="center" wrapText="1"/>
    </xf>
    <xf numFmtId="0" fontId="5" fillId="5" borderId="24" xfId="3" applyFont="1" applyFill="1" applyBorder="1" applyAlignment="1">
      <alignment horizontal="center" vertical="center" wrapText="1"/>
    </xf>
    <xf numFmtId="0" fontId="5" fillId="7" borderId="25" xfId="3" applyFont="1" applyFill="1" applyBorder="1" applyAlignment="1">
      <alignment horizontal="center" vertical="center" wrapText="1"/>
    </xf>
    <xf numFmtId="0" fontId="5" fillId="6" borderId="21" xfId="3" applyFont="1" applyFill="1" applyBorder="1" applyAlignment="1">
      <alignment horizontal="center" vertical="center" wrapText="1"/>
    </xf>
    <xf numFmtId="0" fontId="5" fillId="6" borderId="22" xfId="3" applyFont="1" applyFill="1" applyBorder="1" applyAlignment="1">
      <alignment horizontal="center" vertical="center" wrapText="1"/>
    </xf>
    <xf numFmtId="0" fontId="5" fillId="6" borderId="23" xfId="3" applyFont="1" applyFill="1" applyBorder="1" applyAlignment="1">
      <alignment horizontal="center" vertical="center" wrapText="1"/>
    </xf>
  </cellXfs>
  <cellStyles count="8">
    <cellStyle name="Звичайний 2" xfId="4" xr:uid="{9E3422BE-3078-4E1A-B56A-3696B720557B}"/>
    <cellStyle name="Звичайний_Аркуш1" xfId="5" xr:uid="{F083F6FB-3FA6-49C7-96C6-3A4FB2202DAE}"/>
    <cellStyle name="Обычный" xfId="0" builtinId="0"/>
    <cellStyle name="Обычный 2" xfId="3" xr:uid="{DF257467-BC16-4912-AD33-281296568C6E}"/>
    <cellStyle name="Обычный 3" xfId="2" xr:uid="{C9354929-0864-480B-9C38-5B6C09421D1D}"/>
    <cellStyle name="Процентный" xfId="1" builtinId="5"/>
    <cellStyle name="Процентный 2" xfId="7" xr:uid="{889BC624-752B-4C6B-9416-927334CD4D74}"/>
    <cellStyle name="Финансовый 2" xfId="6" xr:uid="{DC3DD4D7-EEC2-48D5-8A6A-2DD8A37241B6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pane ySplit="1" topLeftCell="A2" activePane="bottomLeft" state="frozen"/>
      <selection pane="bottomLeft" activeCell="H24" sqref="H24"/>
    </sheetView>
  </sheetViews>
  <sheetFormatPr defaultRowHeight="15.6" x14ac:dyDescent="0.3"/>
  <cols>
    <col min="1" max="1" width="17.3984375" customWidth="1"/>
    <col min="2" max="2" width="19.5" customWidth="1"/>
    <col min="3" max="3" width="18.3984375" style="2" customWidth="1"/>
    <col min="4" max="4" width="18.3984375" customWidth="1"/>
    <col min="5" max="5" width="50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5</v>
      </c>
      <c r="B2" t="s">
        <v>6</v>
      </c>
      <c r="C2" s="2">
        <v>100</v>
      </c>
      <c r="D2" s="3" t="s">
        <v>7</v>
      </c>
      <c r="E2" t="s">
        <v>8</v>
      </c>
    </row>
    <row r="3" spans="1:5" x14ac:dyDescent="0.3">
      <c r="A3" t="s">
        <v>9</v>
      </c>
      <c r="B3" t="s">
        <v>10</v>
      </c>
      <c r="C3" s="2">
        <v>20</v>
      </c>
      <c r="D3" s="3" t="s">
        <v>11</v>
      </c>
      <c r="E3" t="s">
        <v>12</v>
      </c>
    </row>
    <row r="4" spans="1:5" x14ac:dyDescent="0.3">
      <c r="A4" t="s">
        <v>13</v>
      </c>
      <c r="B4" t="s">
        <v>14</v>
      </c>
      <c r="C4" s="2">
        <v>100</v>
      </c>
      <c r="D4" s="3" t="s">
        <v>11</v>
      </c>
      <c r="E4" t="s">
        <v>15</v>
      </c>
    </row>
    <row r="5" spans="1:5" x14ac:dyDescent="0.3">
      <c r="A5" t="s">
        <v>16</v>
      </c>
      <c r="B5" t="s">
        <v>17</v>
      </c>
      <c r="C5" s="2">
        <v>17</v>
      </c>
      <c r="D5" s="3" t="s">
        <v>11</v>
      </c>
      <c r="E5" t="s">
        <v>18</v>
      </c>
    </row>
    <row r="6" spans="1:5" x14ac:dyDescent="0.3">
      <c r="A6" t="s">
        <v>19</v>
      </c>
      <c r="B6" t="s">
        <v>56</v>
      </c>
      <c r="C6" s="2">
        <v>11</v>
      </c>
      <c r="D6" s="3" t="s">
        <v>11</v>
      </c>
      <c r="E6" t="s">
        <v>57</v>
      </c>
    </row>
  </sheetData>
  <pageMargins left="0.7" right="0.7" top="0.75" bottom="0.75" header="0.3" footer="0.3"/>
  <ignoredErrors>
    <ignoredError sqref="A1:E2 A5:B5 D5:E5 D6 A4:E4 A3:C3 E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>
      <pane ySplit="1" topLeftCell="A2" activePane="bottomLeft" state="frozen"/>
      <selection pane="bottomLeft" activeCell="E2" sqref="E2:E18"/>
    </sheetView>
  </sheetViews>
  <sheetFormatPr defaultRowHeight="15.6" x14ac:dyDescent="0.3"/>
  <cols>
    <col min="1" max="1" width="12.19921875" customWidth="1"/>
    <col min="2" max="2" width="40.69921875" customWidth="1"/>
    <col min="3" max="3" width="12.19921875" style="3" customWidth="1"/>
    <col min="4" max="4" width="11.8984375" style="3" customWidth="1"/>
    <col min="5" max="5" width="11.5" style="3" customWidth="1"/>
    <col min="6" max="6" width="13.19921875" style="3" customWidth="1"/>
  </cols>
  <sheetData>
    <row r="1" spans="1:6" s="1" customFormat="1" x14ac:dyDescent="0.3">
      <c r="A1" s="1" t="s">
        <v>20</v>
      </c>
      <c r="B1" s="1" t="s">
        <v>21</v>
      </c>
      <c r="C1" s="2" t="s">
        <v>10</v>
      </c>
      <c r="D1" s="2" t="s">
        <v>14</v>
      </c>
      <c r="E1" s="2" t="s">
        <v>17</v>
      </c>
      <c r="F1" s="2" t="s">
        <v>56</v>
      </c>
    </row>
    <row r="2" spans="1:6" x14ac:dyDescent="0.3">
      <c r="A2" t="s">
        <v>22</v>
      </c>
      <c r="B2" t="s">
        <v>23</v>
      </c>
      <c r="C2" s="4">
        <v>1.15E-2</v>
      </c>
      <c r="D2" s="4">
        <v>1.1000000000000001E-3</v>
      </c>
      <c r="E2" s="5">
        <v>5.11E-2</v>
      </c>
      <c r="F2" s="4">
        <v>1.03E-2</v>
      </c>
    </row>
    <row r="3" spans="1:6" x14ac:dyDescent="0.3">
      <c r="A3" t="s">
        <v>24</v>
      </c>
      <c r="B3" t="s">
        <v>25</v>
      </c>
      <c r="C3" s="4">
        <v>4.1999999999999997E-3</v>
      </c>
      <c r="D3" s="4">
        <v>2.0999999999999999E-3</v>
      </c>
      <c r="E3" s="5">
        <v>5.11E-2</v>
      </c>
      <c r="F3" s="4">
        <v>1E-3</v>
      </c>
    </row>
    <row r="4" spans="1:6" x14ac:dyDescent="0.3">
      <c r="A4" t="s">
        <v>26</v>
      </c>
      <c r="B4" t="s">
        <v>27</v>
      </c>
      <c r="C4" s="4">
        <v>8.0999999999999996E-3</v>
      </c>
      <c r="D4" s="4">
        <v>1.6000000000000001E-3</v>
      </c>
      <c r="E4" s="5">
        <v>5.11E-2</v>
      </c>
      <c r="F4" s="4">
        <v>1.55E-2</v>
      </c>
    </row>
    <row r="5" spans="1:6" x14ac:dyDescent="0.3">
      <c r="A5" t="s">
        <v>28</v>
      </c>
      <c r="B5" t="s">
        <v>29</v>
      </c>
      <c r="C5" s="4">
        <v>6.7999999999999996E-3</v>
      </c>
      <c r="D5" s="4">
        <v>1.1000000000000001E-3</v>
      </c>
      <c r="E5" s="5">
        <v>5.11E-2</v>
      </c>
      <c r="F5" s="4">
        <v>3.2000000000000002E-3</v>
      </c>
    </row>
    <row r="6" spans="1:6" x14ac:dyDescent="0.3">
      <c r="A6" t="s">
        <v>30</v>
      </c>
      <c r="B6" t="s">
        <v>31</v>
      </c>
      <c r="C6" s="4">
        <v>9.1999999999999998E-3</v>
      </c>
      <c r="D6" s="4">
        <v>2.7000000000000001E-3</v>
      </c>
      <c r="E6" s="5">
        <v>5.11E-2</v>
      </c>
      <c r="F6" s="4">
        <v>4.5999999999999999E-3</v>
      </c>
    </row>
    <row r="7" spans="1:6" x14ac:dyDescent="0.3">
      <c r="A7" t="s">
        <v>32</v>
      </c>
      <c r="B7" t="s">
        <v>33</v>
      </c>
      <c r="C7" s="4">
        <v>6.7999999999999996E-3</v>
      </c>
      <c r="D7" s="4">
        <v>1.1000000000000001E-3</v>
      </c>
      <c r="E7" s="5">
        <v>5.11E-2</v>
      </c>
      <c r="F7" s="4">
        <v>3.9000000000000003E-3</v>
      </c>
    </row>
    <row r="8" spans="1:6" x14ac:dyDescent="0.3">
      <c r="A8" t="s">
        <v>34</v>
      </c>
      <c r="B8" t="s">
        <v>35</v>
      </c>
      <c r="C8" s="4">
        <v>5.7999999999999996E-3</v>
      </c>
      <c r="D8" s="4">
        <v>1.1000000000000001E-3</v>
      </c>
      <c r="E8" s="5">
        <v>5.11E-2</v>
      </c>
      <c r="F8" s="4">
        <v>4.8999999999999998E-3</v>
      </c>
    </row>
    <row r="9" spans="1:6" x14ac:dyDescent="0.3">
      <c r="A9" t="s">
        <v>36</v>
      </c>
      <c r="B9" t="s">
        <v>37</v>
      </c>
      <c r="C9" s="4">
        <v>7.4999999999999997E-3</v>
      </c>
      <c r="D9" s="4">
        <v>2.7000000000000001E-3</v>
      </c>
      <c r="E9" s="5">
        <v>5.11E-2</v>
      </c>
      <c r="F9" s="4">
        <v>2.8000000000000004E-3</v>
      </c>
    </row>
    <row r="10" spans="1:6" x14ac:dyDescent="0.3">
      <c r="A10" t="s">
        <v>38</v>
      </c>
      <c r="B10" t="s">
        <v>39</v>
      </c>
      <c r="C10" s="4">
        <v>3.0999999999999999E-3</v>
      </c>
      <c r="D10" s="4">
        <v>1.1000000000000001E-3</v>
      </c>
      <c r="E10" s="5">
        <v>5.11E-2</v>
      </c>
      <c r="F10" s="4">
        <v>1.2999999999999999E-3</v>
      </c>
    </row>
    <row r="11" spans="1:6" x14ac:dyDescent="0.3">
      <c r="A11" t="s">
        <v>40</v>
      </c>
      <c r="B11" t="s">
        <v>41</v>
      </c>
      <c r="C11" s="4">
        <v>1.2800000000000001E-2</v>
      </c>
      <c r="D11" s="4">
        <v>1.6000000000000001E-3</v>
      </c>
      <c r="E11" s="5">
        <v>5.11E-2</v>
      </c>
      <c r="F11" s="4">
        <v>2E-3</v>
      </c>
    </row>
    <row r="12" spans="1:6" x14ac:dyDescent="0.3">
      <c r="A12" t="s">
        <v>42</v>
      </c>
      <c r="B12" t="s">
        <v>43</v>
      </c>
      <c r="C12" s="4">
        <v>5.0000000000000001E-4</v>
      </c>
      <c r="D12" s="4">
        <v>1.1000000000000001E-3</v>
      </c>
      <c r="E12" s="5">
        <v>5.11E-2</v>
      </c>
      <c r="F12" s="4">
        <v>1.1000000000000001E-2</v>
      </c>
    </row>
    <row r="13" spans="1:6" x14ac:dyDescent="0.3">
      <c r="A13" t="s">
        <v>44</v>
      </c>
      <c r="B13" t="s">
        <v>45</v>
      </c>
      <c r="C13" s="4">
        <v>1.34E-2</v>
      </c>
      <c r="D13" s="4">
        <v>3.2000000000000002E-3</v>
      </c>
      <c r="E13" s="5">
        <v>5.11E-2</v>
      </c>
      <c r="F13" s="4">
        <v>3.9000000000000003E-3</v>
      </c>
    </row>
    <row r="14" spans="1:6" x14ac:dyDescent="0.3">
      <c r="A14" t="s">
        <v>46</v>
      </c>
      <c r="B14" t="s">
        <v>47</v>
      </c>
      <c r="C14" s="4">
        <v>7.7000000000000002E-3</v>
      </c>
      <c r="D14" s="4">
        <v>1.6999999999999999E-3</v>
      </c>
      <c r="E14" s="5">
        <v>5.11E-2</v>
      </c>
      <c r="F14" s="4">
        <v>5.3E-3</v>
      </c>
    </row>
    <row r="15" spans="1:6" x14ac:dyDescent="0.3">
      <c r="A15" t="s">
        <v>48</v>
      </c>
      <c r="B15" t="s">
        <v>49</v>
      </c>
      <c r="C15" s="4">
        <v>7.7000000000000002E-3</v>
      </c>
      <c r="D15" s="4">
        <v>1.6999999999999999E-3</v>
      </c>
      <c r="E15" s="5">
        <v>5.11E-2</v>
      </c>
      <c r="F15" s="4">
        <v>5.3E-3</v>
      </c>
    </row>
    <row r="16" spans="1:6" x14ac:dyDescent="0.3">
      <c r="A16" t="s">
        <v>50</v>
      </c>
      <c r="B16" t="s">
        <v>51</v>
      </c>
      <c r="C16" s="4">
        <v>8.9999999999999993E-3</v>
      </c>
      <c r="D16" s="4">
        <v>1.6000000000000001E-3</v>
      </c>
      <c r="E16" s="5">
        <v>5.11E-2</v>
      </c>
      <c r="F16" s="4">
        <v>4.1999999999999997E-3</v>
      </c>
    </row>
    <row r="17" spans="1:6" x14ac:dyDescent="0.3">
      <c r="A17" t="s">
        <v>52</v>
      </c>
      <c r="B17" t="s">
        <v>53</v>
      </c>
      <c r="C17" s="4">
        <v>9.7000000000000003E-3</v>
      </c>
      <c r="D17" s="4">
        <v>3.2000000000000002E-3</v>
      </c>
      <c r="E17" s="5">
        <v>5.11E-2</v>
      </c>
      <c r="F17" s="4">
        <v>1.23E-2</v>
      </c>
    </row>
    <row r="18" spans="1:6" x14ac:dyDescent="0.3">
      <c r="A18" t="s">
        <v>54</v>
      </c>
      <c r="B18" t="s">
        <v>55</v>
      </c>
      <c r="C18" s="4">
        <v>6.8999999999999999E-3</v>
      </c>
      <c r="D18" s="4">
        <v>3.2000000000000002E-3</v>
      </c>
      <c r="E18" s="5">
        <v>5.11E-2</v>
      </c>
      <c r="F18" s="4">
        <v>1.2199999999999999E-2</v>
      </c>
    </row>
  </sheetData>
  <pageMargins left="0.7" right="0.7" top="0.75" bottom="0.75" header="0.3" footer="0.3"/>
  <ignoredErrors>
    <ignoredError sqref="A1:E1 A3:C18 A2:C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72FC5-3366-4412-8E58-821CB997E71E}">
  <dimension ref="B1:V38"/>
  <sheetViews>
    <sheetView tabSelected="1" workbookViewId="0">
      <selection activeCell="W14" sqref="W14"/>
    </sheetView>
  </sheetViews>
  <sheetFormatPr defaultRowHeight="15" customHeight="1" x14ac:dyDescent="0.3"/>
  <cols>
    <col min="3" max="3" width="14" customWidth="1"/>
    <col min="4" max="4" width="28.09765625" customWidth="1"/>
    <col min="5" max="5" width="16.09765625" customWidth="1"/>
    <col min="8" max="8" width="14" customWidth="1"/>
  </cols>
  <sheetData>
    <row r="1" spans="2:22" ht="16.2" thickBot="1" x14ac:dyDescent="0.35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2:22" ht="16.2" thickBot="1" x14ac:dyDescent="0.35">
      <c r="B2" s="9"/>
      <c r="C2" s="9"/>
      <c r="D2" s="9"/>
      <c r="E2" s="9"/>
      <c r="F2" s="9"/>
      <c r="G2" s="9"/>
      <c r="H2" s="9"/>
      <c r="I2" s="9"/>
      <c r="J2" s="7" t="s">
        <v>58</v>
      </c>
      <c r="K2" s="8"/>
      <c r="L2" s="8"/>
      <c r="M2" s="6"/>
      <c r="N2" s="7" t="s">
        <v>59</v>
      </c>
      <c r="O2" s="8"/>
      <c r="P2" s="8"/>
      <c r="Q2" s="6"/>
      <c r="R2" s="9"/>
      <c r="S2" s="9"/>
      <c r="T2" s="9"/>
      <c r="U2" s="9"/>
      <c r="V2" s="9"/>
    </row>
    <row r="3" spans="2:22" ht="27" thickBot="1" x14ac:dyDescent="0.35">
      <c r="B3" s="22" t="s">
        <v>60</v>
      </c>
      <c r="C3" s="22" t="s">
        <v>61</v>
      </c>
      <c r="D3" s="22" t="s">
        <v>62</v>
      </c>
      <c r="E3" s="23" t="s">
        <v>63</v>
      </c>
      <c r="F3" s="24" t="s">
        <v>64</v>
      </c>
      <c r="G3" s="24" t="s">
        <v>65</v>
      </c>
      <c r="H3" s="24" t="s">
        <v>66</v>
      </c>
      <c r="I3" s="55" t="s">
        <v>56</v>
      </c>
      <c r="J3" s="57" t="s">
        <v>64</v>
      </c>
      <c r="K3" s="58" t="s">
        <v>65</v>
      </c>
      <c r="L3" s="58" t="s">
        <v>66</v>
      </c>
      <c r="M3" s="59" t="s">
        <v>56</v>
      </c>
      <c r="N3" s="56" t="s">
        <v>64</v>
      </c>
      <c r="O3" s="25" t="s">
        <v>65</v>
      </c>
      <c r="P3" s="25" t="s">
        <v>66</v>
      </c>
      <c r="Q3" s="54" t="s">
        <v>56</v>
      </c>
      <c r="R3" s="24" t="s">
        <v>64</v>
      </c>
      <c r="S3" s="24" t="s">
        <v>65</v>
      </c>
      <c r="T3" s="24" t="s">
        <v>66</v>
      </c>
      <c r="U3" s="55" t="s">
        <v>56</v>
      </c>
      <c r="V3" s="9"/>
    </row>
    <row r="4" spans="2:22" ht="15" customHeight="1" x14ac:dyDescent="0.3">
      <c r="B4" s="51">
        <v>45809</v>
      </c>
      <c r="C4" s="12" t="s">
        <v>67</v>
      </c>
      <c r="D4" s="13" t="s">
        <v>41</v>
      </c>
      <c r="E4" s="16">
        <v>22377804.719999999</v>
      </c>
      <c r="F4" s="16">
        <v>278296.7</v>
      </c>
      <c r="G4" s="16">
        <v>452006.75</v>
      </c>
      <c r="H4" s="16">
        <v>1129236.25</v>
      </c>
      <c r="I4" s="17">
        <v>109023.978</v>
      </c>
      <c r="J4" s="28">
        <v>1.2800000000000001E-2</v>
      </c>
      <c r="K4" s="29">
        <v>1.5989999999999999E-3</v>
      </c>
      <c r="L4" s="29">
        <v>5.0462333733333253E-2</v>
      </c>
      <c r="M4" s="42">
        <v>2E-3</v>
      </c>
      <c r="N4" s="45">
        <v>1.2436282445135219E-2</v>
      </c>
      <c r="O4" s="30">
        <v>2.0198887051508779E-2</v>
      </c>
      <c r="P4" s="30">
        <v>5.0462333733333253E-2</v>
      </c>
      <c r="Q4" s="46">
        <v>4.87196931799841E-3</v>
      </c>
      <c r="R4" s="31">
        <v>0.97158456602618892</v>
      </c>
      <c r="S4" s="31">
        <v>12.632199531900424</v>
      </c>
      <c r="T4" s="31">
        <v>1</v>
      </c>
      <c r="U4" s="32">
        <v>2.4359846589992049</v>
      </c>
      <c r="V4" s="26"/>
    </row>
    <row r="5" spans="2:22" ht="15" customHeight="1" x14ac:dyDescent="0.3">
      <c r="B5" s="52">
        <v>45809</v>
      </c>
      <c r="C5" s="10" t="s">
        <v>67</v>
      </c>
      <c r="D5" s="11" t="s">
        <v>23</v>
      </c>
      <c r="E5" s="18">
        <v>2296569.0099999998</v>
      </c>
      <c r="F5" s="18">
        <v>2450.86</v>
      </c>
      <c r="G5" s="18">
        <v>22035.74</v>
      </c>
      <c r="H5" s="18">
        <v>112435</v>
      </c>
      <c r="I5" s="19">
        <v>16538.763999999999</v>
      </c>
      <c r="J5" s="33">
        <v>1.15E-2</v>
      </c>
      <c r="K5" s="34">
        <v>1.0660000000000001E-3</v>
      </c>
      <c r="L5" s="34">
        <v>6.39578146837399E-2</v>
      </c>
      <c r="M5" s="43">
        <v>1.03E-2</v>
      </c>
      <c r="N5" s="47">
        <v>1.0671832587342979E-3</v>
      </c>
      <c r="O5" s="35">
        <v>9.5950698211328747E-3</v>
      </c>
      <c r="P5" s="35">
        <v>4.89578146837399E-2</v>
      </c>
      <c r="Q5" s="48">
        <v>7.2015096990270724E-3</v>
      </c>
      <c r="R5" s="27">
        <v>9.2798544237765027E-2</v>
      </c>
      <c r="S5" s="27">
        <v>9.0010035845524143</v>
      </c>
      <c r="T5" s="27">
        <v>0.76547041086109102</v>
      </c>
      <c r="U5" s="36">
        <v>0.69917569893466724</v>
      </c>
      <c r="V5" s="26"/>
    </row>
    <row r="6" spans="2:22" ht="15" customHeight="1" x14ac:dyDescent="0.3">
      <c r="B6" s="52">
        <v>45809</v>
      </c>
      <c r="C6" s="10" t="s">
        <v>67</v>
      </c>
      <c r="D6" s="11" t="s">
        <v>47</v>
      </c>
      <c r="E6" s="18">
        <v>8754757.2799999993</v>
      </c>
      <c r="F6" s="18">
        <v>2613.98</v>
      </c>
      <c r="G6" s="18">
        <v>11687.46</v>
      </c>
      <c r="H6" s="18">
        <v>881288</v>
      </c>
      <c r="I6" s="19">
        <v>4645.74</v>
      </c>
      <c r="J6" s="33">
        <v>7.7000000000000002E-3</v>
      </c>
      <c r="K6" s="34">
        <v>1.9E-3</v>
      </c>
      <c r="L6" s="34">
        <v>0.1086638987026263</v>
      </c>
      <c r="M6" s="43">
        <v>6.1999999999999998E-3</v>
      </c>
      <c r="N6" s="47">
        <v>2.9857823768245008E-4</v>
      </c>
      <c r="O6" s="35">
        <v>1.3349838980344639E-3</v>
      </c>
      <c r="P6" s="35">
        <v>0.10066389870262629</v>
      </c>
      <c r="Q6" s="48">
        <v>5.3065320390013144E-4</v>
      </c>
      <c r="R6" s="27">
        <v>3.8776394504214294E-2</v>
      </c>
      <c r="S6" s="27">
        <v>0.70262310422866525</v>
      </c>
      <c r="T6" s="27">
        <v>0.92637849280658424</v>
      </c>
      <c r="U6" s="36">
        <v>8.5589226435505081E-2</v>
      </c>
      <c r="V6" s="26"/>
    </row>
    <row r="7" spans="2:22" ht="15" customHeight="1" x14ac:dyDescent="0.3">
      <c r="B7" s="52">
        <v>45809</v>
      </c>
      <c r="C7" s="10" t="s">
        <v>67</v>
      </c>
      <c r="D7" s="11" t="s">
        <v>49</v>
      </c>
      <c r="E7" s="18">
        <v>3156377.33</v>
      </c>
      <c r="F7" s="18">
        <v>8713.2800000000007</v>
      </c>
      <c r="G7" s="18">
        <v>96077.08</v>
      </c>
      <c r="H7" s="18">
        <v>193900</v>
      </c>
      <c r="I7" s="19">
        <v>22909.393</v>
      </c>
      <c r="J7" s="33">
        <v>7.7000000000000002E-3</v>
      </c>
      <c r="K7" s="34">
        <v>1.9E-3</v>
      </c>
      <c r="L7" s="34">
        <v>4.9431185098519251E-2</v>
      </c>
      <c r="M7" s="43">
        <v>6.1999999999999998E-3</v>
      </c>
      <c r="N7" s="47">
        <v>2.7605318024508814E-3</v>
      </c>
      <c r="O7" s="35">
        <v>3.0439034993322549E-2</v>
      </c>
      <c r="P7" s="35">
        <v>6.1431185098519255E-2</v>
      </c>
      <c r="Q7" s="48">
        <v>7.258128735831466E-3</v>
      </c>
      <c r="R7" s="27">
        <v>0.35851062369491965</v>
      </c>
      <c r="S7" s="27">
        <v>16.020544733327657</v>
      </c>
      <c r="T7" s="27">
        <v>1.2427617297882561</v>
      </c>
      <c r="U7" s="36">
        <v>1.1706659251341074</v>
      </c>
      <c r="V7" s="26"/>
    </row>
    <row r="8" spans="2:22" ht="15" customHeight="1" x14ac:dyDescent="0.3">
      <c r="B8" s="52">
        <v>45809</v>
      </c>
      <c r="C8" s="10" t="s">
        <v>68</v>
      </c>
      <c r="D8" s="11" t="s">
        <v>45</v>
      </c>
      <c r="E8" s="18">
        <v>8782254.2200000007</v>
      </c>
      <c r="F8" s="18">
        <v>114550.21</v>
      </c>
      <c r="G8" s="18">
        <v>215004.99</v>
      </c>
      <c r="H8" s="18">
        <v>560636.86</v>
      </c>
      <c r="I8" s="19">
        <v>17399.486000000001</v>
      </c>
      <c r="J8" s="33">
        <v>1.34E-2</v>
      </c>
      <c r="K8" s="34">
        <v>3.1980000000000003E-3</v>
      </c>
      <c r="L8" s="34">
        <v>6.68374665496759E-2</v>
      </c>
      <c r="M8" s="43">
        <v>3.9000000000000003E-3</v>
      </c>
      <c r="N8" s="47">
        <v>1.304337213777444E-2</v>
      </c>
      <c r="O8" s="35">
        <v>2.4481754298385588E-2</v>
      </c>
      <c r="P8" s="35">
        <v>6.3837466549675898E-2</v>
      </c>
      <c r="Q8" s="48">
        <v>1.9812095578349131E-3</v>
      </c>
      <c r="R8" s="27">
        <v>0.97338598043092839</v>
      </c>
      <c r="S8" s="27">
        <v>7.6553328012462742</v>
      </c>
      <c r="T8" s="27">
        <v>0.95511499530326605</v>
      </c>
      <c r="U8" s="36">
        <v>0.50800245072690076</v>
      </c>
      <c r="V8" s="26"/>
    </row>
    <row r="9" spans="2:22" ht="15" customHeight="1" x14ac:dyDescent="0.3">
      <c r="B9" s="52">
        <v>45809</v>
      </c>
      <c r="C9" s="10" t="s">
        <v>69</v>
      </c>
      <c r="D9" s="11" t="s">
        <v>43</v>
      </c>
      <c r="E9" s="18">
        <v>6331291.4800000004</v>
      </c>
      <c r="F9" s="18">
        <v>848.46</v>
      </c>
      <c r="G9" s="18">
        <v>55561.33</v>
      </c>
      <c r="H9" s="18">
        <v>357491.39</v>
      </c>
      <c r="I9" s="19">
        <v>7466.04</v>
      </c>
      <c r="J9" s="33">
        <v>5.0000000000000001E-4</v>
      </c>
      <c r="K9" s="34">
        <v>1.0660000000000001E-3</v>
      </c>
      <c r="L9" s="34">
        <v>5.5464212890732362E-2</v>
      </c>
      <c r="M9" s="43">
        <v>1.1000000000000001E-2</v>
      </c>
      <c r="N9" s="47">
        <v>1.3401057314770792E-4</v>
      </c>
      <c r="O9" s="35">
        <v>8.7756708367500401E-3</v>
      </c>
      <c r="P9" s="35">
        <v>5.6464212890732363E-2</v>
      </c>
      <c r="Q9" s="48">
        <v>1.1792286018712883E-3</v>
      </c>
      <c r="R9" s="27">
        <v>0.26802114629541585</v>
      </c>
      <c r="S9" s="27">
        <v>8.232336619840563</v>
      </c>
      <c r="T9" s="27">
        <v>1.0180296437627279</v>
      </c>
      <c r="U9" s="36">
        <v>0.10720260017011711</v>
      </c>
      <c r="V9" s="26"/>
    </row>
    <row r="10" spans="2:22" ht="15" customHeight="1" x14ac:dyDescent="0.3">
      <c r="B10" s="52">
        <v>45809</v>
      </c>
      <c r="C10" s="10" t="s">
        <v>70</v>
      </c>
      <c r="D10" s="11" t="s">
        <v>31</v>
      </c>
      <c r="E10" s="18">
        <v>15570538.48</v>
      </c>
      <c r="F10" s="18">
        <v>175447.9</v>
      </c>
      <c r="G10" s="18">
        <v>272389.03000000003</v>
      </c>
      <c r="H10" s="18">
        <v>787796.12</v>
      </c>
      <c r="I10" s="19">
        <v>30519.866999999998</v>
      </c>
      <c r="J10" s="33">
        <v>9.1999999999999998E-3</v>
      </c>
      <c r="K10" s="34">
        <v>2.6650000000000003E-3</v>
      </c>
      <c r="L10" s="34">
        <v>5.3595303496530071E-2</v>
      </c>
      <c r="M10" s="43">
        <v>4.5999999999999999E-3</v>
      </c>
      <c r="N10" s="47">
        <v>1.1267940426425123E-2</v>
      </c>
      <c r="O10" s="35">
        <v>1.7493873468144822E-2</v>
      </c>
      <c r="P10" s="35">
        <v>5.0595303496530068E-2</v>
      </c>
      <c r="Q10" s="48">
        <v>1.9601035018282807E-3</v>
      </c>
      <c r="R10" s="27">
        <v>1.2247761333070786</v>
      </c>
      <c r="S10" s="27">
        <v>6.564305241330139</v>
      </c>
      <c r="T10" s="27">
        <v>0.94402494613741239</v>
      </c>
      <c r="U10" s="36">
        <v>0.42610945691919144</v>
      </c>
      <c r="V10" s="26"/>
    </row>
    <row r="11" spans="2:22" ht="15" customHeight="1" x14ac:dyDescent="0.3">
      <c r="B11" s="52">
        <v>45809</v>
      </c>
      <c r="C11" s="10" t="s">
        <v>70</v>
      </c>
      <c r="D11" s="11" t="s">
        <v>51</v>
      </c>
      <c r="E11" s="18">
        <v>3787951.38</v>
      </c>
      <c r="F11" s="18">
        <v>46493.04</v>
      </c>
      <c r="G11" s="18">
        <v>76596.06</v>
      </c>
      <c r="H11" s="18">
        <v>218845.31</v>
      </c>
      <c r="I11" s="19">
        <v>7222.8</v>
      </c>
      <c r="J11" s="33">
        <v>9.0000000000000011E-3</v>
      </c>
      <c r="K11" s="34">
        <v>1.5990000000000002E-3</v>
      </c>
      <c r="L11" s="34">
        <v>5.577405463952919E-2</v>
      </c>
      <c r="M11" s="43">
        <v>4.1999999999999997E-3</v>
      </c>
      <c r="N11" s="47">
        <v>1.2273927338528829E-2</v>
      </c>
      <c r="O11" s="35">
        <v>2.0220972318815773E-2</v>
      </c>
      <c r="P11" s="35">
        <v>5.7774054639529192E-2</v>
      </c>
      <c r="Q11" s="48">
        <v>1.9067826578069754E-3</v>
      </c>
      <c r="R11" s="27">
        <v>1.3637697042809809</v>
      </c>
      <c r="S11" s="27">
        <v>12.646011456420119</v>
      </c>
      <c r="T11" s="27">
        <v>1.035858967272975</v>
      </c>
      <c r="U11" s="36">
        <v>0.45399587090642274</v>
      </c>
      <c r="V11" s="26"/>
    </row>
    <row r="12" spans="2:22" ht="15" customHeight="1" x14ac:dyDescent="0.3">
      <c r="B12" s="52">
        <v>45809</v>
      </c>
      <c r="C12" s="10" t="s">
        <v>70</v>
      </c>
      <c r="D12" s="11" t="s">
        <v>35</v>
      </c>
      <c r="E12" s="18">
        <v>19295921.5</v>
      </c>
      <c r="F12" s="18">
        <v>173219.16</v>
      </c>
      <c r="G12" s="18">
        <v>10841.97</v>
      </c>
      <c r="H12" s="18">
        <v>918662.31</v>
      </c>
      <c r="I12" s="19">
        <v>19952.25</v>
      </c>
      <c r="J12" s="33">
        <v>5.7999999999999996E-3</v>
      </c>
      <c r="K12" s="34">
        <v>1.0660000000000001E-3</v>
      </c>
      <c r="L12" s="34">
        <v>3.6609144243253691E-2</v>
      </c>
      <c r="M12" s="43">
        <v>4.8999999999999998E-3</v>
      </c>
      <c r="N12" s="47">
        <v>8.9769830375812844E-3</v>
      </c>
      <c r="O12" s="35">
        <v>5.6187884056224007E-4</v>
      </c>
      <c r="P12" s="35">
        <v>4.7609144243253687E-2</v>
      </c>
      <c r="Q12" s="48">
        <v>1.0340138458792964E-3</v>
      </c>
      <c r="R12" s="27">
        <v>1.5477556961347043</v>
      </c>
      <c r="S12" s="27">
        <v>0.52709084480510315</v>
      </c>
      <c r="T12" s="27">
        <v>1.3004713775036429</v>
      </c>
      <c r="U12" s="36">
        <v>0.21102323385291763</v>
      </c>
      <c r="V12" s="26"/>
    </row>
    <row r="13" spans="2:22" ht="15" customHeight="1" x14ac:dyDescent="0.3">
      <c r="B13" s="52">
        <v>45809</v>
      </c>
      <c r="C13" s="10" t="s">
        <v>70</v>
      </c>
      <c r="D13" s="11" t="s">
        <v>29</v>
      </c>
      <c r="E13" s="18">
        <v>21928287.18</v>
      </c>
      <c r="F13" s="18">
        <v>245143.75</v>
      </c>
      <c r="G13" s="18">
        <v>258047.3</v>
      </c>
      <c r="H13" s="18">
        <v>1075360.1000000001</v>
      </c>
      <c r="I13" s="19">
        <v>30274.82</v>
      </c>
      <c r="J13" s="33">
        <v>6.8000000000000005E-3</v>
      </c>
      <c r="K13" s="34">
        <v>1.0660000000000001E-3</v>
      </c>
      <c r="L13" s="34">
        <v>5.4039858479270432E-2</v>
      </c>
      <c r="M13" s="43">
        <v>3.2000000000000002E-3</v>
      </c>
      <c r="N13" s="47">
        <v>1.1179338722980004E-2</v>
      </c>
      <c r="O13" s="35">
        <v>1.1767781855545728E-2</v>
      </c>
      <c r="P13" s="35">
        <v>4.9039858479270435E-2</v>
      </c>
      <c r="Q13" s="48">
        <v>1.3806285804033327E-3</v>
      </c>
      <c r="R13" s="27">
        <v>1.6440204004382359</v>
      </c>
      <c r="S13" s="27">
        <v>11.039194986440645</v>
      </c>
      <c r="T13" s="27">
        <v>0.90747570144140943</v>
      </c>
      <c r="U13" s="36">
        <v>0.43144643137604144</v>
      </c>
      <c r="V13" s="26"/>
    </row>
    <row r="14" spans="2:22" ht="15" customHeight="1" x14ac:dyDescent="0.3">
      <c r="B14" s="52">
        <v>45809</v>
      </c>
      <c r="C14" s="10" t="s">
        <v>70</v>
      </c>
      <c r="D14" s="11" t="s">
        <v>33</v>
      </c>
      <c r="E14" s="18">
        <v>16592421.289999999</v>
      </c>
      <c r="F14" s="18">
        <v>166414.34</v>
      </c>
      <c r="G14" s="18">
        <v>21085.25</v>
      </c>
      <c r="H14" s="18">
        <v>775214.89</v>
      </c>
      <c r="I14" s="19">
        <v>24702.48</v>
      </c>
      <c r="J14" s="33">
        <v>6.8000000000000005E-3</v>
      </c>
      <c r="K14" s="34">
        <v>1.0660000000000001E-3</v>
      </c>
      <c r="L14" s="34">
        <v>5.3721022595250176E-2</v>
      </c>
      <c r="M14" s="43">
        <v>3.9000000000000003E-3</v>
      </c>
      <c r="N14" s="47">
        <v>1.0029539215008685E-2</v>
      </c>
      <c r="O14" s="35">
        <v>1.2707759543634394E-3</v>
      </c>
      <c r="P14" s="35">
        <v>4.6721022595250176E-2</v>
      </c>
      <c r="Q14" s="48">
        <v>1.4887809059481759E-3</v>
      </c>
      <c r="R14" s="27">
        <v>1.474932237501277</v>
      </c>
      <c r="S14" s="27">
        <v>1.1920975181645772</v>
      </c>
      <c r="T14" s="27">
        <v>0.86969719372730414</v>
      </c>
      <c r="U14" s="36">
        <v>0.38173869383286563</v>
      </c>
      <c r="V14" s="26"/>
    </row>
    <row r="15" spans="2:22" ht="15" customHeight="1" x14ac:dyDescent="0.3">
      <c r="B15" s="52">
        <v>45809</v>
      </c>
      <c r="C15" s="10" t="s">
        <v>70</v>
      </c>
      <c r="D15" s="11" t="s">
        <v>39</v>
      </c>
      <c r="E15" s="18">
        <v>24732366.73</v>
      </c>
      <c r="F15" s="18">
        <v>138177.79</v>
      </c>
      <c r="G15" s="18">
        <v>19775.87</v>
      </c>
      <c r="H15" s="18">
        <v>949887.36</v>
      </c>
      <c r="I15" s="19">
        <v>20745.919999999998</v>
      </c>
      <c r="J15" s="33">
        <v>3.0999999999999999E-3</v>
      </c>
      <c r="K15" s="34">
        <v>1.0660000000000001E-3</v>
      </c>
      <c r="L15" s="34">
        <v>3.6406650296342262E-2</v>
      </c>
      <c r="M15" s="43">
        <v>1.2999999999999999E-3</v>
      </c>
      <c r="N15" s="47">
        <v>5.5869214421922818E-3</v>
      </c>
      <c r="O15" s="35">
        <v>7.9959472604828219E-4</v>
      </c>
      <c r="P15" s="35">
        <v>3.8406650296342264E-2</v>
      </c>
      <c r="Q15" s="48">
        <v>8.388166092829078E-4</v>
      </c>
      <c r="R15" s="27">
        <v>1.802232723287833</v>
      </c>
      <c r="S15" s="27">
        <v>0.75008886120851981</v>
      </c>
      <c r="T15" s="27">
        <v>1.0549350182925492</v>
      </c>
      <c r="U15" s="36">
        <v>0.64524354560223685</v>
      </c>
      <c r="V15" s="26"/>
    </row>
    <row r="16" spans="2:22" ht="15" customHeight="1" x14ac:dyDescent="0.3">
      <c r="B16" s="52">
        <v>45809</v>
      </c>
      <c r="C16" s="10" t="s">
        <v>70</v>
      </c>
      <c r="D16" s="11" t="s">
        <v>53</v>
      </c>
      <c r="E16" s="18">
        <v>6727481.3700000001</v>
      </c>
      <c r="F16" s="18">
        <v>85377.279999999999</v>
      </c>
      <c r="G16" s="18">
        <v>167922.88</v>
      </c>
      <c r="H16" s="18">
        <v>464714.09</v>
      </c>
      <c r="I16" s="19">
        <v>54583.16</v>
      </c>
      <c r="J16" s="33">
        <v>9.7000000000000003E-3</v>
      </c>
      <c r="K16" s="34">
        <v>3.1980000000000003E-3</v>
      </c>
      <c r="L16" s="34">
        <v>6.307697910131857E-2</v>
      </c>
      <c r="M16" s="43">
        <v>1.23E-2</v>
      </c>
      <c r="N16" s="47">
        <v>1.26908236982602E-2</v>
      </c>
      <c r="O16" s="35">
        <v>2.4960735045484041E-2</v>
      </c>
      <c r="P16" s="35">
        <v>6.9076979101318575E-2</v>
      </c>
      <c r="Q16" s="48">
        <v>8.1134613383552195E-3</v>
      </c>
      <c r="R16" s="27">
        <v>1.3083323400268247</v>
      </c>
      <c r="S16" s="27">
        <v>7.8051078941476044</v>
      </c>
      <c r="T16" s="27">
        <v>1.0951218667330658</v>
      </c>
      <c r="U16" s="36">
        <v>0.65963100311831047</v>
      </c>
      <c r="V16" s="26"/>
    </row>
    <row r="17" spans="2:22" ht="15" customHeight="1" x14ac:dyDescent="0.3">
      <c r="B17" s="52">
        <v>45809</v>
      </c>
      <c r="C17" s="10" t="s">
        <v>70</v>
      </c>
      <c r="D17" s="11" t="s">
        <v>25</v>
      </c>
      <c r="E17" s="18">
        <v>30236809.890000001</v>
      </c>
      <c r="F17" s="18">
        <v>235038.9</v>
      </c>
      <c r="G17" s="18">
        <v>405668.69</v>
      </c>
      <c r="H17" s="18">
        <v>1233206.29</v>
      </c>
      <c r="I17" s="19">
        <v>30542.98</v>
      </c>
      <c r="J17" s="33">
        <v>4.1999999999999997E-3</v>
      </c>
      <c r="K17" s="34">
        <v>2.1320000000000002E-3</v>
      </c>
      <c r="L17" s="34">
        <v>2.9784933810357069E-2</v>
      </c>
      <c r="M17" s="43">
        <v>1E-3</v>
      </c>
      <c r="N17" s="47">
        <v>7.7732704228739647E-3</v>
      </c>
      <c r="O17" s="35">
        <v>1.3416385242881189E-2</v>
      </c>
      <c r="P17" s="35">
        <v>4.0784933810357069E-2</v>
      </c>
      <c r="Q17" s="48">
        <v>1.0101257411451086E-3</v>
      </c>
      <c r="R17" s="27">
        <v>1.8507786721128487</v>
      </c>
      <c r="S17" s="27">
        <v>6.2928636223645347</v>
      </c>
      <c r="T17" s="27">
        <v>1.36931423349932</v>
      </c>
      <c r="U17" s="36">
        <v>1.0101257411451086</v>
      </c>
      <c r="V17" s="26"/>
    </row>
    <row r="18" spans="2:22" ht="15" customHeight="1" x14ac:dyDescent="0.3">
      <c r="B18" s="52">
        <v>45809</v>
      </c>
      <c r="C18" s="10" t="s">
        <v>70</v>
      </c>
      <c r="D18" s="11" t="s">
        <v>37</v>
      </c>
      <c r="E18" s="18">
        <v>16641580.289999999</v>
      </c>
      <c r="F18" s="18">
        <v>146123.65</v>
      </c>
      <c r="G18" s="18">
        <v>275905.56</v>
      </c>
      <c r="H18" s="18">
        <v>824999.73</v>
      </c>
      <c r="I18" s="19">
        <v>23503.42</v>
      </c>
      <c r="J18" s="33">
        <v>7.4999999999999997E-3</v>
      </c>
      <c r="K18" s="34">
        <v>2.6650000000000003E-3</v>
      </c>
      <c r="L18" s="34">
        <v>4.5574602629279509E-2</v>
      </c>
      <c r="M18" s="43">
        <v>2.8000000000000004E-3</v>
      </c>
      <c r="N18" s="47">
        <v>8.7806354597108997E-3</v>
      </c>
      <c r="O18" s="35">
        <v>1.6579288456505113E-2</v>
      </c>
      <c r="P18" s="35">
        <v>4.9574602629279506E-2</v>
      </c>
      <c r="Q18" s="48">
        <v>1.4123310160708302E-3</v>
      </c>
      <c r="R18" s="27">
        <v>1.1707513946281201</v>
      </c>
      <c r="S18" s="27">
        <v>6.2211213720469463</v>
      </c>
      <c r="T18" s="27">
        <v>1.0877681816018772</v>
      </c>
      <c r="U18" s="36">
        <v>0.50440393431101072</v>
      </c>
      <c r="V18" s="26"/>
    </row>
    <row r="19" spans="2:22" ht="15" customHeight="1" x14ac:dyDescent="0.3">
      <c r="B19" s="52">
        <v>45809</v>
      </c>
      <c r="C19" s="10" t="s">
        <v>70</v>
      </c>
      <c r="D19" s="11" t="s">
        <v>27</v>
      </c>
      <c r="E19" s="18">
        <v>1178225.1299999999</v>
      </c>
      <c r="F19" s="18">
        <v>14922.41</v>
      </c>
      <c r="G19" s="18"/>
      <c r="H19" s="18">
        <v>64147.12</v>
      </c>
      <c r="I19" s="19">
        <v>4881.04</v>
      </c>
      <c r="J19" s="33">
        <v>8.1000000000000013E-3</v>
      </c>
      <c r="K19" s="34">
        <v>1.5990000000000002E-3</v>
      </c>
      <c r="L19" s="34">
        <v>6.5443856582824714E-2</v>
      </c>
      <c r="M19" s="43">
        <v>1.55E-2</v>
      </c>
      <c r="N19" s="47">
        <v>1.2665160180380807E-2</v>
      </c>
      <c r="O19" s="35">
        <v>0</v>
      </c>
      <c r="P19" s="35">
        <v>5.4443856582824718E-2</v>
      </c>
      <c r="Q19" s="48">
        <v>4.1427057323077127E-3</v>
      </c>
      <c r="R19" s="27">
        <v>1.5636000222692352</v>
      </c>
      <c r="S19" s="27">
        <v>0</v>
      </c>
      <c r="T19" s="27">
        <v>0.83191699611897763</v>
      </c>
      <c r="U19" s="36">
        <v>0.26727133756823951</v>
      </c>
      <c r="V19" s="26"/>
    </row>
    <row r="20" spans="2:22" ht="15" customHeight="1" thickBot="1" x14ac:dyDescent="0.35">
      <c r="B20" s="53">
        <v>45809</v>
      </c>
      <c r="C20" s="14" t="s">
        <v>70</v>
      </c>
      <c r="D20" s="15" t="s">
        <v>55</v>
      </c>
      <c r="E20" s="20">
        <v>3227731.96</v>
      </c>
      <c r="F20" s="20">
        <v>45634.55</v>
      </c>
      <c r="G20" s="20">
        <v>68818.87</v>
      </c>
      <c r="H20" s="20">
        <v>189660.15</v>
      </c>
      <c r="I20" s="21">
        <v>5190.9679999999998</v>
      </c>
      <c r="J20" s="37">
        <v>6.8999999999999999E-3</v>
      </c>
      <c r="K20" s="38">
        <v>3.1980000000000003E-3</v>
      </c>
      <c r="L20" s="38">
        <v>6.4759572464623119E-2</v>
      </c>
      <c r="M20" s="44">
        <v>1.2199999999999999E-2</v>
      </c>
      <c r="N20" s="49">
        <v>1.4138271258434979E-2</v>
      </c>
      <c r="O20" s="39">
        <v>2.1321122959664842E-2</v>
      </c>
      <c r="P20" s="39">
        <v>5.8759572464623114E-2</v>
      </c>
      <c r="Q20" s="50">
        <v>1.60824010925616E-3</v>
      </c>
      <c r="R20" s="40">
        <v>2.0490248200630403</v>
      </c>
      <c r="S20" s="40">
        <v>6.6670178110271543</v>
      </c>
      <c r="T20" s="40">
        <v>0.90734960451942936</v>
      </c>
      <c r="U20" s="41">
        <v>0.13182295977509509</v>
      </c>
      <c r="V20" s="26"/>
    </row>
    <row r="21" spans="2:22" ht="15" customHeight="1" x14ac:dyDescent="0.3">
      <c r="B21" s="51">
        <v>45839</v>
      </c>
      <c r="C21" s="12" t="s">
        <v>70</v>
      </c>
      <c r="D21" s="13" t="s">
        <v>41</v>
      </c>
      <c r="E21" s="16">
        <v>23351606.629999999</v>
      </c>
      <c r="F21" s="16">
        <v>340116.97</v>
      </c>
      <c r="G21" s="16">
        <v>905066.28</v>
      </c>
      <c r="H21" s="16">
        <v>1183687.8500000001</v>
      </c>
      <c r="I21" s="17">
        <v>415908.174</v>
      </c>
      <c r="J21" s="28">
        <v>1.2800000000000001E-2</v>
      </c>
      <c r="K21" s="29">
        <v>1.5990000000000002E-3</v>
      </c>
      <c r="L21" s="29">
        <v>6.4689782024646938E-2</v>
      </c>
      <c r="M21" s="42">
        <v>2E-3</v>
      </c>
      <c r="N21" s="45">
        <v>1.4565035091120837E-2</v>
      </c>
      <c r="O21" s="30">
        <v>3.8758201709224324E-2</v>
      </c>
      <c r="P21" s="30">
        <v>5.0689782024646933E-2</v>
      </c>
      <c r="Q21" s="46">
        <v>1.7810687743672393E-2</v>
      </c>
      <c r="R21" s="31">
        <v>1.1378933664938153</v>
      </c>
      <c r="S21" s="31">
        <v>24.239025459177185</v>
      </c>
      <c r="T21" s="31">
        <v>0.78358251393294265</v>
      </c>
      <c r="U21" s="32">
        <v>8.9053438718361964</v>
      </c>
      <c r="V21" s="26"/>
    </row>
    <row r="22" spans="2:22" ht="15" customHeight="1" x14ac:dyDescent="0.3">
      <c r="B22" s="52">
        <v>45839</v>
      </c>
      <c r="C22" s="10" t="s">
        <v>70</v>
      </c>
      <c r="D22" s="11" t="s">
        <v>23</v>
      </c>
      <c r="E22" s="18">
        <v>2507130.58</v>
      </c>
      <c r="F22" s="18">
        <v>906.39</v>
      </c>
      <c r="G22" s="18">
        <v>72053.38</v>
      </c>
      <c r="H22" s="18">
        <v>134775</v>
      </c>
      <c r="I22" s="19">
        <v>12052.344999999999</v>
      </c>
      <c r="J22" s="33">
        <v>1.15E-2</v>
      </c>
      <c r="K22" s="34">
        <v>1.0660000000000001E-3</v>
      </c>
      <c r="L22" s="34">
        <v>6.375667349564218E-2</v>
      </c>
      <c r="M22" s="43">
        <v>1.03E-2</v>
      </c>
      <c r="N22" s="47">
        <v>3.6152484726184462E-4</v>
      </c>
      <c r="O22" s="35">
        <v>2.8739380618938486E-2</v>
      </c>
      <c r="P22" s="35">
        <v>5.3756673495642178E-2</v>
      </c>
      <c r="Q22" s="48">
        <v>4.8072266742484543E-3</v>
      </c>
      <c r="R22" s="27">
        <v>3.14369432401604E-2</v>
      </c>
      <c r="S22" s="27">
        <v>26.960019342343791</v>
      </c>
      <c r="T22" s="27">
        <v>0.84315367393370189</v>
      </c>
      <c r="U22" s="36">
        <v>0.46672103633480139</v>
      </c>
      <c r="V22" s="26"/>
    </row>
    <row r="23" spans="2:22" ht="15" customHeight="1" x14ac:dyDescent="0.3">
      <c r="B23" s="52">
        <v>45839</v>
      </c>
      <c r="C23" s="10" t="s">
        <v>70</v>
      </c>
      <c r="D23" s="11" t="s">
        <v>47</v>
      </c>
      <c r="E23" s="18">
        <v>17154613.550000001</v>
      </c>
      <c r="F23" s="18">
        <v>219251.72</v>
      </c>
      <c r="G23" s="18">
        <v>26162.53</v>
      </c>
      <c r="H23" s="18">
        <v>950479.86</v>
      </c>
      <c r="I23" s="19">
        <v>355339.39600000001</v>
      </c>
      <c r="J23" s="33">
        <v>7.7000000000000002E-3</v>
      </c>
      <c r="K23" s="34">
        <v>1.9E-3</v>
      </c>
      <c r="L23" s="34">
        <v>6.740666114276879E-2</v>
      </c>
      <c r="M23" s="43">
        <v>6.1999999999999998E-3</v>
      </c>
      <c r="N23" s="47">
        <v>1.2780918635150483E-2</v>
      </c>
      <c r="O23" s="35">
        <v>1.5251016832145425E-3</v>
      </c>
      <c r="P23" s="35">
        <v>5.5406661142768786E-2</v>
      </c>
      <c r="Q23" s="48">
        <v>2.0713926021376332E-2</v>
      </c>
      <c r="R23" s="27">
        <v>1.6598595630065562</v>
      </c>
      <c r="S23" s="27">
        <v>0.80268509642870656</v>
      </c>
      <c r="T23" s="27">
        <v>0.82197605108219585</v>
      </c>
      <c r="U23" s="36">
        <v>3.3409558098994085</v>
      </c>
      <c r="V23" s="26"/>
    </row>
    <row r="24" spans="2:22" ht="15" customHeight="1" x14ac:dyDescent="0.3">
      <c r="B24" s="52">
        <v>45839</v>
      </c>
      <c r="C24" s="10" t="s">
        <v>70</v>
      </c>
      <c r="D24" s="11" t="s">
        <v>49</v>
      </c>
      <c r="E24" s="18">
        <v>3261158.66</v>
      </c>
      <c r="F24" s="18">
        <v>11393.01</v>
      </c>
      <c r="G24" s="18">
        <v>69063.679999999993</v>
      </c>
      <c r="H24" s="18">
        <v>215080.68</v>
      </c>
      <c r="I24" s="19">
        <v>10297.922</v>
      </c>
      <c r="J24" s="33">
        <v>7.7000000000000002E-3</v>
      </c>
      <c r="K24" s="34">
        <v>1.9E-3</v>
      </c>
      <c r="L24" s="34">
        <v>5.495222815684779E-2</v>
      </c>
      <c r="M24" s="43">
        <v>6.1999999999999998E-3</v>
      </c>
      <c r="N24" s="47">
        <v>3.4935466770574112E-3</v>
      </c>
      <c r="O24" s="35">
        <v>2.1177651013152481E-2</v>
      </c>
      <c r="P24" s="35">
        <v>6.5952228156847786E-2</v>
      </c>
      <c r="Q24" s="48">
        <v>3.1577494607392086E-3</v>
      </c>
      <c r="R24" s="27">
        <v>0.45370736065680661</v>
      </c>
      <c r="S24" s="27">
        <v>11.146132112185516</v>
      </c>
      <c r="T24" s="27">
        <v>1.200173866810335</v>
      </c>
      <c r="U24" s="36">
        <v>0.50931442915148528</v>
      </c>
      <c r="V24" s="26"/>
    </row>
    <row r="25" spans="2:22" ht="15" customHeight="1" x14ac:dyDescent="0.3">
      <c r="B25" s="52">
        <v>45839</v>
      </c>
      <c r="C25" s="10" t="s">
        <v>68</v>
      </c>
      <c r="D25" s="11" t="s">
        <v>45</v>
      </c>
      <c r="E25" s="18">
        <v>8996043.75</v>
      </c>
      <c r="F25" s="18">
        <v>152767.69</v>
      </c>
      <c r="G25" s="18">
        <v>7136.64</v>
      </c>
      <c r="H25" s="18">
        <v>634099.98</v>
      </c>
      <c r="I25" s="19">
        <v>280739.12400000001</v>
      </c>
      <c r="J25" s="33">
        <v>1.34E-2</v>
      </c>
      <c r="K25" s="34">
        <v>3.1980000000000003E-3</v>
      </c>
      <c r="L25" s="34">
        <v>7.848653804068037E-2</v>
      </c>
      <c r="M25" s="43">
        <v>3.9000000000000003E-3</v>
      </c>
      <c r="N25" s="47">
        <v>1.6981652629246051E-2</v>
      </c>
      <c r="O25" s="35">
        <v>7.9330872529382711E-4</v>
      </c>
      <c r="P25" s="35">
        <v>7.0486538040680377E-2</v>
      </c>
      <c r="Q25" s="48">
        <v>3.1206954056887507E-2</v>
      </c>
      <c r="R25" s="27">
        <v>1.2672875096452276</v>
      </c>
      <c r="S25" s="27">
        <v>0.2480640166647364</v>
      </c>
      <c r="T25" s="27">
        <v>0.89807169229640993</v>
      </c>
      <c r="U25" s="36">
        <v>8.0017830915096173</v>
      </c>
      <c r="V25" s="26"/>
    </row>
    <row r="26" spans="2:22" ht="15" customHeight="1" x14ac:dyDescent="0.3">
      <c r="B26" s="52">
        <v>45839</v>
      </c>
      <c r="C26" s="10" t="s">
        <v>69</v>
      </c>
      <c r="D26" s="11" t="s">
        <v>43</v>
      </c>
      <c r="E26" s="18">
        <v>6642878.6900000004</v>
      </c>
      <c r="F26" s="18">
        <v>3409.33</v>
      </c>
      <c r="G26" s="18">
        <v>65470.52</v>
      </c>
      <c r="H26" s="18">
        <v>407617.55</v>
      </c>
      <c r="I26" s="19">
        <v>91207.59</v>
      </c>
      <c r="J26" s="33">
        <v>5.0000000000000001E-4</v>
      </c>
      <c r="K26" s="34">
        <v>1.0660000000000001E-3</v>
      </c>
      <c r="L26" s="34">
        <v>6.336158268456954E-2</v>
      </c>
      <c r="M26" s="43">
        <v>1.1000000000000001E-2</v>
      </c>
      <c r="N26" s="47">
        <v>5.1323080837413276E-4</v>
      </c>
      <c r="O26" s="35">
        <v>9.8557452356547535E-3</v>
      </c>
      <c r="P26" s="35">
        <v>6.1361582684569538E-2</v>
      </c>
      <c r="Q26" s="48">
        <v>1.373013030289132E-2</v>
      </c>
      <c r="R26" s="27">
        <v>1.0264616167482654</v>
      </c>
      <c r="S26" s="27">
        <v>9.2455396206892608</v>
      </c>
      <c r="T26" s="27">
        <v>0.96843513190072095</v>
      </c>
      <c r="U26" s="36">
        <v>1.2481936638992108</v>
      </c>
      <c r="V26" s="26"/>
    </row>
    <row r="27" spans="2:22" ht="15" customHeight="1" x14ac:dyDescent="0.3">
      <c r="B27" s="52">
        <v>45839</v>
      </c>
      <c r="C27" s="10" t="s">
        <v>70</v>
      </c>
      <c r="D27" s="11" t="s">
        <v>31</v>
      </c>
      <c r="E27" s="18">
        <v>16522919.58</v>
      </c>
      <c r="F27" s="18">
        <v>146350.9</v>
      </c>
      <c r="G27" s="18">
        <v>167073.5</v>
      </c>
      <c r="H27" s="18">
        <v>4292</v>
      </c>
      <c r="I27" s="19">
        <v>320983.74400000001</v>
      </c>
      <c r="J27" s="33">
        <v>9.1999999999999998E-3</v>
      </c>
      <c r="K27" s="34">
        <v>2.6650000000000003E-3</v>
      </c>
      <c r="L27" s="34">
        <v>-8.7402396120601338E-3</v>
      </c>
      <c r="M27" s="43">
        <v>4.5999999999999999E-3</v>
      </c>
      <c r="N27" s="47">
        <v>8.8574479402023457E-3</v>
      </c>
      <c r="O27" s="35">
        <v>1.0111620963297093E-2</v>
      </c>
      <c r="P27" s="35">
        <v>2.597603879398655E-4</v>
      </c>
      <c r="Q27" s="48">
        <v>1.9426575457556033E-2</v>
      </c>
      <c r="R27" s="27">
        <v>0.9627660804567767</v>
      </c>
      <c r="S27" s="27">
        <v>3.7942292545204848</v>
      </c>
      <c r="T27" s="27">
        <v>-2.9720053393208771E-2</v>
      </c>
      <c r="U27" s="36">
        <v>4.223168577729572</v>
      </c>
      <c r="V27" s="26"/>
    </row>
    <row r="28" spans="2:22" ht="15" customHeight="1" x14ac:dyDescent="0.3">
      <c r="B28" s="52">
        <v>45839</v>
      </c>
      <c r="C28" s="10" t="s">
        <v>70</v>
      </c>
      <c r="D28" s="11" t="s">
        <v>51</v>
      </c>
      <c r="E28" s="18">
        <v>4053690.1</v>
      </c>
      <c r="F28" s="18">
        <v>30464.93</v>
      </c>
      <c r="G28" s="18">
        <v>67225.78</v>
      </c>
      <c r="H28" s="18">
        <v>210065</v>
      </c>
      <c r="I28" s="19">
        <v>37777.313999999998</v>
      </c>
      <c r="J28" s="33">
        <v>9.0000000000000011E-3</v>
      </c>
      <c r="K28" s="34">
        <v>1.5990000000000002E-3</v>
      </c>
      <c r="L28" s="34">
        <v>4.9820685552652379E-2</v>
      </c>
      <c r="M28" s="43">
        <v>4.1999999999999997E-3</v>
      </c>
      <c r="N28" s="47">
        <v>7.5153574270514657E-3</v>
      </c>
      <c r="O28" s="35">
        <v>1.6583847887138684E-2</v>
      </c>
      <c r="P28" s="35">
        <v>5.182068555265238E-2</v>
      </c>
      <c r="Q28" s="48">
        <v>9.3192407579454576E-3</v>
      </c>
      <c r="R28" s="27">
        <v>0.83503971411682942</v>
      </c>
      <c r="S28" s="27">
        <v>10.371387046365655</v>
      </c>
      <c r="T28" s="27">
        <v>1.0401439678682527</v>
      </c>
      <c r="U28" s="36">
        <v>2.2188668471298709</v>
      </c>
      <c r="V28" s="26"/>
    </row>
    <row r="29" spans="2:22" ht="15" customHeight="1" x14ac:dyDescent="0.3">
      <c r="B29" s="52">
        <v>45839</v>
      </c>
      <c r="C29" s="10" t="s">
        <v>70</v>
      </c>
      <c r="D29" s="11" t="s">
        <v>35</v>
      </c>
      <c r="E29" s="18">
        <v>20005520.420000002</v>
      </c>
      <c r="F29" s="18">
        <v>188212.22</v>
      </c>
      <c r="G29" s="18">
        <v>223063.28</v>
      </c>
      <c r="H29" s="18">
        <v>6860</v>
      </c>
      <c r="I29" s="19">
        <v>140024.65</v>
      </c>
      <c r="J29" s="33">
        <v>5.7999999999999996E-3</v>
      </c>
      <c r="K29" s="34">
        <v>1.0660000000000001E-3</v>
      </c>
      <c r="L29" s="34">
        <v>1.4342905350922133E-2</v>
      </c>
      <c r="M29" s="43">
        <v>4.8999999999999998E-3</v>
      </c>
      <c r="N29" s="47">
        <v>9.4080141905151186E-3</v>
      </c>
      <c r="O29" s="35">
        <v>1.1150086342017789E-2</v>
      </c>
      <c r="P29" s="35">
        <v>3.4290535092213311E-4</v>
      </c>
      <c r="Q29" s="48">
        <v>6.9993005460639744E-3</v>
      </c>
      <c r="R29" s="27">
        <v>1.6220714121577793</v>
      </c>
      <c r="S29" s="27">
        <v>10.459743285194923</v>
      </c>
      <c r="T29" s="27">
        <v>2.3907663233661863E-2</v>
      </c>
      <c r="U29" s="36">
        <v>1.4284286828701989</v>
      </c>
      <c r="V29" s="26"/>
    </row>
    <row r="30" spans="2:22" ht="15" customHeight="1" x14ac:dyDescent="0.3">
      <c r="B30" s="52">
        <v>45839</v>
      </c>
      <c r="C30" s="10" t="s">
        <v>70</v>
      </c>
      <c r="D30" s="11" t="s">
        <v>29</v>
      </c>
      <c r="E30" s="18">
        <v>22951289.809999999</v>
      </c>
      <c r="F30" s="18">
        <v>208685.61</v>
      </c>
      <c r="G30" s="18">
        <v>7435.1</v>
      </c>
      <c r="H30" s="18">
        <v>16540</v>
      </c>
      <c r="I30" s="19">
        <v>408158.78700000001</v>
      </c>
      <c r="J30" s="33">
        <v>6.8000000000000005E-3</v>
      </c>
      <c r="K30" s="34">
        <v>1.0660000000000001E-3</v>
      </c>
      <c r="L30" s="34">
        <v>-3.2793433337766735E-3</v>
      </c>
      <c r="M30" s="43">
        <v>3.2000000000000002E-3</v>
      </c>
      <c r="N30" s="47">
        <v>9.0925438930702079E-3</v>
      </c>
      <c r="O30" s="35">
        <v>3.2395129256572274E-4</v>
      </c>
      <c r="P30" s="35">
        <v>7.2065666622332636E-4</v>
      </c>
      <c r="Q30" s="48">
        <v>1.7783697142030035E-2</v>
      </c>
      <c r="R30" s="27">
        <v>1.3371388078044422</v>
      </c>
      <c r="S30" s="27">
        <v>0.30389427069955227</v>
      </c>
      <c r="T30" s="27">
        <v>-0.21975639415388026</v>
      </c>
      <c r="U30" s="36">
        <v>5.5574053568843853</v>
      </c>
      <c r="V30" s="26"/>
    </row>
    <row r="31" spans="2:22" ht="15" customHeight="1" x14ac:dyDescent="0.3">
      <c r="B31" s="52">
        <v>45839</v>
      </c>
      <c r="C31" s="10" t="s">
        <v>70</v>
      </c>
      <c r="D31" s="11" t="s">
        <v>33</v>
      </c>
      <c r="E31" s="18">
        <v>17127476.359999999</v>
      </c>
      <c r="F31" s="18">
        <v>124955.03</v>
      </c>
      <c r="G31" s="18">
        <v>190824.85</v>
      </c>
      <c r="H31" s="18">
        <v>13718</v>
      </c>
      <c r="I31" s="19">
        <v>129564.88499999999</v>
      </c>
      <c r="J31" s="33">
        <v>6.8000000000000005E-3</v>
      </c>
      <c r="K31" s="34">
        <v>1.0660000000000001E-3</v>
      </c>
      <c r="L31" s="34">
        <v>5.8009352756742032E-3</v>
      </c>
      <c r="M31" s="43">
        <v>3.9000000000000003E-3</v>
      </c>
      <c r="N31" s="47">
        <v>7.2955891091943687E-3</v>
      </c>
      <c r="O31" s="35">
        <v>1.1141445825939532E-2</v>
      </c>
      <c r="P31" s="35">
        <v>8.0093527567420332E-4</v>
      </c>
      <c r="Q31" s="48">
        <v>7.564738801951556E-3</v>
      </c>
      <c r="R31" s="27">
        <v>1.072880751352113</v>
      </c>
      <c r="S31" s="27">
        <v>10.451637735402937</v>
      </c>
      <c r="T31" s="27">
        <v>0.13807002450671474</v>
      </c>
      <c r="U31" s="36">
        <v>1.9396766158850143</v>
      </c>
      <c r="V31" s="26"/>
    </row>
    <row r="32" spans="2:22" ht="15" customHeight="1" x14ac:dyDescent="0.3">
      <c r="B32" s="52">
        <v>45839</v>
      </c>
      <c r="C32" s="10" t="s">
        <v>70</v>
      </c>
      <c r="D32" s="11" t="s">
        <v>39</v>
      </c>
      <c r="E32" s="18">
        <v>26507855.93</v>
      </c>
      <c r="F32" s="18">
        <v>93468.95</v>
      </c>
      <c r="G32" s="18">
        <v>26600.69</v>
      </c>
      <c r="H32" s="18">
        <v>475842</v>
      </c>
      <c r="I32" s="19">
        <v>207175.95800000001</v>
      </c>
      <c r="J32" s="33">
        <v>3.0999999999999999E-3</v>
      </c>
      <c r="K32" s="34">
        <v>1.0660000000000001E-3</v>
      </c>
      <c r="L32" s="34">
        <v>2.5950980315291007E-2</v>
      </c>
      <c r="M32" s="43">
        <v>1.2999999999999999E-3</v>
      </c>
      <c r="N32" s="47">
        <v>3.5260848801512254E-3</v>
      </c>
      <c r="O32" s="35">
        <v>1.0035021342444726E-3</v>
      </c>
      <c r="P32" s="35">
        <v>1.7950980315291007E-2</v>
      </c>
      <c r="Q32" s="48">
        <v>7.8156437301868196E-3</v>
      </c>
      <c r="R32" s="27">
        <v>1.1374467355326534</v>
      </c>
      <c r="S32" s="27">
        <v>0.94137160810926124</v>
      </c>
      <c r="T32" s="27">
        <v>0.69172648189763419</v>
      </c>
      <c r="U32" s="36">
        <v>6.0120336386052458</v>
      </c>
      <c r="V32" s="26"/>
    </row>
    <row r="33" spans="2:22" ht="15" customHeight="1" x14ac:dyDescent="0.3">
      <c r="B33" s="52">
        <v>45839</v>
      </c>
      <c r="C33" s="10" t="s">
        <v>70</v>
      </c>
      <c r="D33" s="11" t="s">
        <v>53</v>
      </c>
      <c r="E33" s="18">
        <v>6716259.54</v>
      </c>
      <c r="F33" s="18">
        <v>83542.95</v>
      </c>
      <c r="G33" s="18">
        <v>134250.79999999999</v>
      </c>
      <c r="H33" s="18">
        <v>226615</v>
      </c>
      <c r="I33" s="19">
        <v>262618.62</v>
      </c>
      <c r="J33" s="33">
        <v>9.7000000000000003E-3</v>
      </c>
      <c r="K33" s="34">
        <v>3.1980000000000003E-3</v>
      </c>
      <c r="L33" s="34">
        <v>2.5741251160761425E-2</v>
      </c>
      <c r="M33" s="43">
        <v>1.23E-2</v>
      </c>
      <c r="N33" s="47">
        <v>1.2438910304529417E-2</v>
      </c>
      <c r="O33" s="35">
        <v>1.9988923775271495E-2</v>
      </c>
      <c r="P33" s="35">
        <v>3.3741251160761425E-2</v>
      </c>
      <c r="Q33" s="48">
        <v>3.9101916540884601E-2</v>
      </c>
      <c r="R33" s="27">
        <v>1.2823618870648883</v>
      </c>
      <c r="S33" s="27">
        <v>6.2504452080273589</v>
      </c>
      <c r="T33" s="27">
        <v>1.3107852042636827</v>
      </c>
      <c r="U33" s="36">
        <v>3.1790176049499674</v>
      </c>
      <c r="V33" s="26"/>
    </row>
    <row r="34" spans="2:22" ht="15" customHeight="1" x14ac:dyDescent="0.3">
      <c r="B34" s="52">
        <v>45839</v>
      </c>
      <c r="C34" s="10" t="s">
        <v>70</v>
      </c>
      <c r="D34" s="11" t="s">
        <v>25</v>
      </c>
      <c r="E34" s="18">
        <v>32052691.809999999</v>
      </c>
      <c r="F34" s="18">
        <v>186262.07</v>
      </c>
      <c r="G34" s="18">
        <v>24274.43</v>
      </c>
      <c r="H34" s="18">
        <v>1244568</v>
      </c>
      <c r="I34" s="19">
        <v>332994.59499999997</v>
      </c>
      <c r="J34" s="33">
        <v>4.1999999999999997E-3</v>
      </c>
      <c r="K34" s="34">
        <v>2.1320000000000002E-3</v>
      </c>
      <c r="L34" s="34">
        <v>4.7828813735129476E-2</v>
      </c>
      <c r="M34" s="43">
        <v>1E-3</v>
      </c>
      <c r="N34" s="47">
        <v>5.8111209849117506E-3</v>
      </c>
      <c r="O34" s="35">
        <v>7.573289052879706E-4</v>
      </c>
      <c r="P34" s="35">
        <v>3.8828813735129475E-2</v>
      </c>
      <c r="Q34" s="48">
        <v>1.0388974410445935E-2</v>
      </c>
      <c r="R34" s="27">
        <v>1.3836002345027978</v>
      </c>
      <c r="S34" s="27">
        <v>0.35521993681424507</v>
      </c>
      <c r="T34" s="27">
        <v>0.81182891029158744</v>
      </c>
      <c r="U34" s="36">
        <v>10.388974410445934</v>
      </c>
      <c r="V34" s="26"/>
    </row>
    <row r="35" spans="2:22" ht="15" customHeight="1" x14ac:dyDescent="0.3">
      <c r="B35" s="52">
        <v>45839</v>
      </c>
      <c r="C35" s="10" t="s">
        <v>70</v>
      </c>
      <c r="D35" s="11" t="s">
        <v>37</v>
      </c>
      <c r="E35" s="18">
        <v>17428018.870000001</v>
      </c>
      <c r="F35" s="18">
        <v>116216.48</v>
      </c>
      <c r="G35" s="18">
        <v>259230.85</v>
      </c>
      <c r="H35" s="18">
        <v>431095</v>
      </c>
      <c r="I35" s="19">
        <v>141745.95499999999</v>
      </c>
      <c r="J35" s="33">
        <v>7.4999999999999997E-3</v>
      </c>
      <c r="K35" s="34">
        <v>2.6650000000000003E-3</v>
      </c>
      <c r="L35" s="34">
        <v>3.9735743242857752E-2</v>
      </c>
      <c r="M35" s="43">
        <v>2.8000000000000004E-3</v>
      </c>
      <c r="N35" s="47">
        <v>6.6683701037328512E-3</v>
      </c>
      <c r="O35" s="35">
        <v>1.4874372809306006E-2</v>
      </c>
      <c r="P35" s="35">
        <v>2.4735743242857756E-2</v>
      </c>
      <c r="Q35" s="48">
        <v>8.133222488299955E-3</v>
      </c>
      <c r="R35" s="27">
        <v>0.88911601383104688</v>
      </c>
      <c r="S35" s="27">
        <v>5.5813781648427785</v>
      </c>
      <c r="T35" s="27">
        <v>0.62250611726770333</v>
      </c>
      <c r="U35" s="36">
        <v>2.9047223172499836</v>
      </c>
      <c r="V35" s="26"/>
    </row>
    <row r="36" spans="2:22" ht="15" customHeight="1" x14ac:dyDescent="0.3">
      <c r="B36" s="52">
        <v>45839</v>
      </c>
      <c r="C36" s="10" t="s">
        <v>70</v>
      </c>
      <c r="D36" s="11" t="s">
        <v>27</v>
      </c>
      <c r="E36" s="18">
        <v>1151560.95</v>
      </c>
      <c r="F36" s="18">
        <v>31147.97</v>
      </c>
      <c r="G36" s="18">
        <v>55662.48</v>
      </c>
      <c r="H36" s="18">
        <v>8988</v>
      </c>
      <c r="I36" s="19">
        <v>39011.692999999999</v>
      </c>
      <c r="J36" s="33">
        <v>8.1000000000000013E-3</v>
      </c>
      <c r="K36" s="34">
        <v>1.5990000000000002E-3</v>
      </c>
      <c r="L36" s="34">
        <v>8.8050579954104917E-3</v>
      </c>
      <c r="M36" s="43">
        <v>1.55E-2</v>
      </c>
      <c r="N36" s="47">
        <v>2.7048477112739888E-2</v>
      </c>
      <c r="O36" s="35">
        <v>4.8336547014728143E-2</v>
      </c>
      <c r="P36" s="35">
        <v>7.8050579954104908E-3</v>
      </c>
      <c r="Q36" s="48">
        <v>3.3877228122402035E-2</v>
      </c>
      <c r="R36" s="27">
        <v>3.3393181620666526</v>
      </c>
      <c r="S36" s="27">
        <v>30.229235156177698</v>
      </c>
      <c r="T36" s="27">
        <v>0.88642891386732081</v>
      </c>
      <c r="U36" s="36">
        <v>2.1856276208001315</v>
      </c>
      <c r="V36" s="26"/>
    </row>
    <row r="37" spans="2:22" ht="15" customHeight="1" thickBot="1" x14ac:dyDescent="0.35">
      <c r="B37" s="53">
        <v>45839</v>
      </c>
      <c r="C37" s="14" t="s">
        <v>70</v>
      </c>
      <c r="D37" s="15" t="s">
        <v>55</v>
      </c>
      <c r="E37" s="20">
        <v>3213559.51</v>
      </c>
      <c r="F37" s="20">
        <v>28816.78</v>
      </c>
      <c r="G37" s="20">
        <v>3780.6</v>
      </c>
      <c r="H37" s="20">
        <v>205547</v>
      </c>
      <c r="I37" s="21">
        <v>68784.183000000005</v>
      </c>
      <c r="J37" s="37">
        <v>6.8999999999999999E-3</v>
      </c>
      <c r="K37" s="38">
        <v>3.1980000000000003E-3</v>
      </c>
      <c r="L37" s="38">
        <v>6.6962406596291726E-2</v>
      </c>
      <c r="M37" s="44">
        <v>1.2199999999999999E-2</v>
      </c>
      <c r="N37" s="49">
        <v>8.9672464164200286E-3</v>
      </c>
      <c r="O37" s="39">
        <v>1.1764524628330286E-3</v>
      </c>
      <c r="P37" s="39">
        <v>6.3962406596291724E-2</v>
      </c>
      <c r="Q37" s="50">
        <v>2.1404359491696487E-2</v>
      </c>
      <c r="R37" s="40">
        <v>1.2996009299159461</v>
      </c>
      <c r="S37" s="40">
        <v>0.36787131420670055</v>
      </c>
      <c r="T37" s="40">
        <v>0.95519874280972838</v>
      </c>
      <c r="U37" s="41">
        <v>1.7544556960406958</v>
      </c>
      <c r="V37" s="26"/>
    </row>
    <row r="38" spans="2:22" ht="15" customHeight="1" x14ac:dyDescent="0.3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27"/>
      <c r="S38" s="9"/>
      <c r="T38" s="9"/>
      <c r="U38" s="9"/>
      <c r="V38" s="9"/>
    </row>
  </sheetData>
  <mergeCells count="2">
    <mergeCell ref="J2:M2"/>
    <mergeCell ref="N2:Q2"/>
  </mergeCells>
  <conditionalFormatting sqref="R4:U3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{1620C929-7A10-4524-A712-516691B5222E}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20C929-7A10-4524-A712-516691B522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R4:U37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Бали</vt:lpstr>
      <vt:lpstr>Цілі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 Лит</dc:creator>
  <cp:lastModifiedBy>Влад Лит</cp:lastModifiedBy>
  <dcterms:created xsi:type="dcterms:W3CDTF">2025-08-31T13:10:00Z</dcterms:created>
  <dcterms:modified xsi:type="dcterms:W3CDTF">2025-08-31T18:23:57Z</dcterms:modified>
</cp:coreProperties>
</file>