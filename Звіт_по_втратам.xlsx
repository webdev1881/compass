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D:\Code\compass — копия\"/>
    </mc:Choice>
  </mc:AlternateContent>
  <xr:revisionPtr revIDLastSave="0" documentId="13_ncr:1_{5C741C3B-1005-4243-B23A-65BD3A8C328A}" xr6:coauthVersionLast="47" xr6:coauthVersionMax="47" xr10:uidLastSave="{00000000-0000-0000-0000-000000000000}"/>
  <bookViews>
    <workbookView xWindow="7800" yWindow="5232" windowWidth="35028" windowHeight="18564" firstSheet="1" activeTab="1" xr2:uid="{9CE26A94-F01B-431A-BD99-8899AD1668C8}"/>
  </bookViews>
  <sheets>
    <sheet name="Мережа" sheetId="1" state="hidden" r:id="rId1"/>
    <sheet name="Лист1" sheetId="7" r:id="rId2"/>
    <sheet name="Підрозділи" sheetId="2" r:id="rId3"/>
    <sheet name="Категорії" sheetId="3" r:id="rId4"/>
    <sheet name="Аркуш1" sheetId="4" r:id="rId5"/>
    <sheet name="Аркуш2" sheetId="5" r:id="rId6"/>
    <sheet name="Аркуш3" sheetId="6" r:id="rId7"/>
  </sheet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5" i="3" l="1"/>
  <c r="E5" i="3" s="1"/>
  <c r="D5" i="3"/>
  <c r="I5" i="3"/>
  <c r="J5" i="3" s="1"/>
  <c r="M5" i="3"/>
  <c r="O5" i="3" s="1"/>
  <c r="N5" i="3"/>
  <c r="S5" i="3"/>
  <c r="T5" i="3"/>
  <c r="C6" i="3"/>
  <c r="D6" i="3"/>
  <c r="J6" i="3"/>
  <c r="O6" i="3"/>
  <c r="T6" i="3"/>
  <c r="C7" i="3"/>
  <c r="D7" i="3"/>
  <c r="J7" i="3"/>
  <c r="T7" i="3"/>
  <c r="C8" i="3"/>
  <c r="D8" i="3"/>
  <c r="E8" i="3"/>
  <c r="J8" i="3"/>
  <c r="T8" i="3"/>
  <c r="C9" i="3"/>
  <c r="D9" i="3"/>
  <c r="E9" i="3"/>
  <c r="J9" i="3"/>
  <c r="O9" i="3"/>
  <c r="T9" i="3"/>
  <c r="C10" i="3"/>
  <c r="D10" i="3"/>
  <c r="E10" i="3"/>
  <c r="J10" i="3"/>
  <c r="O10" i="3"/>
  <c r="T10" i="3"/>
  <c r="C11" i="3"/>
  <c r="D11" i="3"/>
  <c r="E11" i="3"/>
  <c r="J11" i="3"/>
  <c r="T11" i="3"/>
  <c r="C12" i="3"/>
  <c r="E12" i="3" s="1"/>
  <c r="D12" i="3"/>
  <c r="J12" i="3"/>
  <c r="O12" i="3"/>
  <c r="T12" i="3"/>
  <c r="C13" i="3"/>
  <c r="D13" i="3"/>
  <c r="J13" i="3"/>
  <c r="O13" i="3"/>
  <c r="T13" i="3"/>
  <c r="C14" i="3"/>
  <c r="E14" i="3" s="1"/>
  <c r="D14" i="3"/>
  <c r="J14" i="3"/>
  <c r="O14" i="3"/>
  <c r="T14" i="3"/>
  <c r="C15" i="3"/>
  <c r="D15" i="3"/>
  <c r="E15" i="3" s="1"/>
  <c r="J15" i="3"/>
  <c r="O15" i="3"/>
  <c r="T15" i="3"/>
  <c r="C16" i="3"/>
  <c r="E16" i="3" s="1"/>
  <c r="D16" i="3"/>
  <c r="J16" i="3"/>
  <c r="O16" i="3"/>
  <c r="T16" i="3"/>
  <c r="C17" i="3"/>
  <c r="D17" i="3"/>
  <c r="E17" i="3" s="1"/>
  <c r="J17" i="3"/>
  <c r="O17" i="3"/>
  <c r="T17" i="3"/>
  <c r="C18" i="3"/>
  <c r="E18" i="3" s="1"/>
  <c r="D18" i="3"/>
  <c r="J18" i="3"/>
  <c r="O18" i="3"/>
  <c r="T18" i="3"/>
  <c r="C19" i="3"/>
  <c r="D19" i="3"/>
  <c r="E19" i="3" s="1"/>
  <c r="J19" i="3"/>
  <c r="O19" i="3"/>
  <c r="T19" i="3"/>
  <c r="C20" i="3"/>
  <c r="E20" i="3" s="1"/>
  <c r="D20" i="3"/>
  <c r="T20" i="3"/>
  <c r="C21" i="3"/>
  <c r="D21" i="3"/>
  <c r="J21" i="3"/>
  <c r="O21" i="3"/>
  <c r="T21" i="3"/>
  <c r="C22" i="3"/>
  <c r="D22" i="3"/>
  <c r="E22" i="3"/>
  <c r="J22" i="3"/>
  <c r="O22" i="3"/>
  <c r="T22" i="3"/>
  <c r="C23" i="3"/>
  <c r="D23" i="3"/>
  <c r="J23" i="3"/>
  <c r="O23" i="3"/>
  <c r="T23" i="3"/>
  <c r="D8" i="2"/>
  <c r="AE19" i="2"/>
  <c r="Z10" i="2"/>
  <c r="Z11" i="2"/>
  <c r="Z12" i="2"/>
  <c r="Z13" i="2"/>
  <c r="Z14" i="2"/>
  <c r="Z15" i="2"/>
  <c r="Z16" i="2"/>
  <c r="Z17" i="2"/>
  <c r="Z18" i="2"/>
  <c r="Z19" i="2"/>
  <c r="Z20" i="2"/>
  <c r="Z21" i="2"/>
  <c r="Z22" i="2"/>
  <c r="Z23" i="2"/>
  <c r="Z9" i="2"/>
  <c r="O8" i="2"/>
  <c r="AD13" i="2"/>
  <c r="AD12" i="2"/>
  <c r="AD10" i="2"/>
  <c r="E6" i="3" l="1"/>
  <c r="E23" i="3"/>
  <c r="E21" i="3"/>
  <c r="E7" i="3"/>
  <c r="E13" i="3"/>
  <c r="R20" i="6" l="1"/>
  <c r="T20" i="6"/>
  <c r="V20" i="6"/>
  <c r="U20" i="6"/>
  <c r="S4" i="6"/>
  <c r="S5" i="6"/>
  <c r="S6" i="6"/>
  <c r="S7" i="6"/>
  <c r="S8" i="6"/>
  <c r="S9" i="6"/>
  <c r="S10" i="6"/>
  <c r="S11" i="6"/>
  <c r="S12" i="6"/>
  <c r="S13" i="6"/>
  <c r="S14" i="6"/>
  <c r="S15" i="6"/>
  <c r="S16" i="6"/>
  <c r="S17" i="6"/>
  <c r="S18" i="6"/>
  <c r="S19" i="6"/>
  <c r="S20" i="6"/>
  <c r="S3" i="6"/>
  <c r="Q3" i="6"/>
  <c r="M4" i="6"/>
  <c r="M5" i="6"/>
  <c r="N5" i="6" s="1"/>
  <c r="M6" i="6"/>
  <c r="N6" i="6" s="1"/>
  <c r="M7" i="6"/>
  <c r="N7" i="6" s="1"/>
  <c r="M8" i="6"/>
  <c r="N8" i="6" s="1"/>
  <c r="M9" i="6"/>
  <c r="M10" i="6"/>
  <c r="N10" i="6" s="1"/>
  <c r="M11" i="6"/>
  <c r="N11" i="6" s="1"/>
  <c r="M12" i="6"/>
  <c r="N12" i="6" s="1"/>
  <c r="M13" i="6"/>
  <c r="N13" i="6" s="1"/>
  <c r="M14" i="6"/>
  <c r="N14" i="6" s="1"/>
  <c r="M15" i="6"/>
  <c r="M16" i="6"/>
  <c r="M17" i="6"/>
  <c r="M18" i="6"/>
  <c r="M19" i="6"/>
  <c r="N19" i="6" s="1"/>
  <c r="M20" i="6"/>
  <c r="N20" i="6" s="1"/>
  <c r="M3" i="6"/>
  <c r="N4" i="6"/>
  <c r="N9" i="6"/>
  <c r="N15" i="6"/>
  <c r="N18" i="6"/>
  <c r="N16" i="6"/>
  <c r="N17" i="6"/>
  <c r="P21" i="6"/>
  <c r="Q23" i="6" l="1"/>
  <c r="N21" i="6"/>
  <c r="Q22" i="6"/>
  <c r="Q10" i="6" s="1"/>
  <c r="M48" i="6"/>
  <c r="L47" i="6"/>
  <c r="G47" i="6"/>
  <c r="L46" i="6"/>
  <c r="G46" i="6"/>
  <c r="L45" i="6"/>
  <c r="G45" i="6"/>
  <c r="L44" i="6"/>
  <c r="G44" i="6"/>
  <c r="L43" i="6"/>
  <c r="G43" i="6"/>
  <c r="L42" i="6"/>
  <c r="G42" i="6"/>
  <c r="L41" i="6"/>
  <c r="G41" i="6"/>
  <c r="L40" i="6"/>
  <c r="G40" i="6"/>
  <c r="L39" i="6"/>
  <c r="G39" i="6"/>
  <c r="L38" i="6"/>
  <c r="G38" i="6"/>
  <c r="L37" i="6"/>
  <c r="G37" i="6"/>
  <c r="L36" i="6"/>
  <c r="G36" i="6"/>
  <c r="L35" i="6"/>
  <c r="G35" i="6"/>
  <c r="L34" i="6"/>
  <c r="G34" i="6"/>
  <c r="L33" i="6"/>
  <c r="G33" i="6"/>
  <c r="L32" i="6"/>
  <c r="G32" i="6"/>
  <c r="L31" i="6"/>
  <c r="G31" i="6"/>
  <c r="L30" i="6"/>
  <c r="G30" i="6"/>
  <c r="J8" i="2" l="1"/>
  <c r="V8" i="2" s="1"/>
  <c r="K18" i="6"/>
  <c r="K19" i="6"/>
  <c r="I4" i="6"/>
  <c r="K4" i="6" s="1"/>
  <c r="I5" i="6"/>
  <c r="K5" i="6" s="1"/>
  <c r="I6" i="6"/>
  <c r="K6" i="6" s="1"/>
  <c r="I7" i="6"/>
  <c r="K7" i="6" s="1"/>
  <c r="I8" i="6"/>
  <c r="K8" i="6" s="1"/>
  <c r="I9" i="6"/>
  <c r="K9" i="6" s="1"/>
  <c r="I10" i="6"/>
  <c r="I11" i="6"/>
  <c r="K11" i="6" s="1"/>
  <c r="I12" i="6"/>
  <c r="K12" i="6" s="1"/>
  <c r="I13" i="6"/>
  <c r="K13" i="6" s="1"/>
  <c r="I14" i="6"/>
  <c r="K14" i="6" s="1"/>
  <c r="I15" i="6"/>
  <c r="K15" i="6" s="1"/>
  <c r="I16" i="6"/>
  <c r="K16" i="6" s="1"/>
  <c r="I17" i="6"/>
  <c r="K17" i="6" s="1"/>
  <c r="I18" i="6"/>
  <c r="I19" i="6"/>
  <c r="I20" i="6"/>
  <c r="K20" i="6" s="1"/>
  <c r="I3" i="6"/>
  <c r="K3" i="6" s="1"/>
  <c r="Y8" i="2"/>
  <c r="Z8" i="2" s="1"/>
  <c r="V9" i="2"/>
  <c r="AA9" i="2"/>
  <c r="AB9" i="2"/>
  <c r="V10" i="2"/>
  <c r="AA10" i="2"/>
  <c r="AB10" i="2"/>
  <c r="V11" i="2"/>
  <c r="AA11" i="2"/>
  <c r="AB11" i="2"/>
  <c r="V12" i="2"/>
  <c r="AA12" i="2"/>
  <c r="AB12" i="2"/>
  <c r="V13" i="2"/>
  <c r="AA13" i="2"/>
  <c r="AB13" i="2"/>
  <c r="V14" i="2"/>
  <c r="AA14" i="2"/>
  <c r="AB14" i="2"/>
  <c r="V15" i="2"/>
  <c r="AA15" i="2"/>
  <c r="AB15" i="2"/>
  <c r="V16" i="2"/>
  <c r="AA16" i="2"/>
  <c r="AB16" i="2"/>
  <c r="V17" i="2"/>
  <c r="AA17" i="2"/>
  <c r="AB17" i="2"/>
  <c r="V18" i="2"/>
  <c r="AA18" i="2"/>
  <c r="AB18" i="2"/>
  <c r="V19" i="2"/>
  <c r="AA19" i="2"/>
  <c r="AB19" i="2"/>
  <c r="V20" i="2"/>
  <c r="AA20" i="2"/>
  <c r="AB20" i="2"/>
  <c r="AA21" i="2"/>
  <c r="AB21" i="2"/>
  <c r="V22" i="2"/>
  <c r="AA22" i="2"/>
  <c r="AB22" i="2"/>
  <c r="V23" i="2"/>
  <c r="AA23" i="2"/>
  <c r="AB23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9" i="2"/>
  <c r="L1" i="5"/>
  <c r="J17" i="5"/>
  <c r="K1" i="5"/>
  <c r="I8" i="2"/>
  <c r="J3" i="5"/>
  <c r="J4" i="5"/>
  <c r="J5" i="5"/>
  <c r="J6" i="5"/>
  <c r="J7" i="5"/>
  <c r="J8" i="5"/>
  <c r="J9" i="5"/>
  <c r="J10" i="5"/>
  <c r="J11" i="5"/>
  <c r="J12" i="5"/>
  <c r="J13" i="5"/>
  <c r="J14" i="5"/>
  <c r="J15" i="5"/>
  <c r="J16" i="5"/>
  <c r="J2" i="5"/>
  <c r="G3" i="5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2" i="5"/>
  <c r="C17" i="5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9" i="2"/>
  <c r="AA8" i="2" l="1"/>
  <c r="Y28" i="2"/>
  <c r="AC8" i="2"/>
  <c r="K21" i="6"/>
  <c r="M21" i="6" s="1"/>
  <c r="I21" i="6"/>
  <c r="K8" i="2"/>
  <c r="V21" i="2"/>
  <c r="N8" i="2"/>
  <c r="AB8" i="2" s="1"/>
  <c r="U23" i="2"/>
  <c r="U18" i="2"/>
  <c r="U14" i="2"/>
  <c r="U13" i="2"/>
  <c r="U11" i="2"/>
  <c r="U12" i="2"/>
  <c r="M8" i="2" l="1"/>
  <c r="E8" i="2" s="1"/>
  <c r="R22" i="2"/>
  <c r="E22" i="2" s="1"/>
  <c r="U19" i="2"/>
  <c r="U17" i="2"/>
  <c r="U16" i="2"/>
  <c r="R14" i="2"/>
  <c r="E14" i="2" s="1"/>
  <c r="F14" i="2" s="1"/>
  <c r="R12" i="2"/>
  <c r="E12" i="2" s="1"/>
  <c r="F12" i="2" s="1"/>
  <c r="R10" i="2"/>
  <c r="E10" i="2" s="1"/>
  <c r="F10" i="2" s="1"/>
  <c r="R16" i="2"/>
  <c r="E16" i="2" s="1"/>
  <c r="F16" i="2" s="1"/>
  <c r="R17" i="2"/>
  <c r="E17" i="2" s="1"/>
  <c r="F17" i="2" s="1"/>
  <c r="R19" i="2"/>
  <c r="E19" i="2" s="1"/>
  <c r="F19" i="2" s="1"/>
  <c r="R20" i="2"/>
  <c r="E20" i="2" s="1"/>
  <c r="R21" i="2"/>
  <c r="E21" i="2" s="1"/>
  <c r="R9" i="2"/>
  <c r="E9" i="2" s="1"/>
  <c r="F9" i="2" s="1"/>
  <c r="U10" i="2"/>
  <c r="U21" i="2"/>
  <c r="U9" i="2"/>
  <c r="F21" i="4"/>
  <c r="H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3" i="4"/>
  <c r="G18" i="4"/>
  <c r="F18" i="4"/>
  <c r="P23" i="2"/>
  <c r="K23" i="2"/>
  <c r="U22" i="2"/>
  <c r="P22" i="2"/>
  <c r="K22" i="2"/>
  <c r="F22" i="2"/>
  <c r="P21" i="2"/>
  <c r="K21" i="2"/>
  <c r="F21" i="2"/>
  <c r="U20" i="2"/>
  <c r="P20" i="2"/>
  <c r="K20" i="2"/>
  <c r="F20" i="2"/>
  <c r="P19" i="2"/>
  <c r="K19" i="2"/>
  <c r="P18" i="2"/>
  <c r="K18" i="2"/>
  <c r="P17" i="2"/>
  <c r="K17" i="2"/>
  <c r="P16" i="2"/>
  <c r="K16" i="2"/>
  <c r="P15" i="2"/>
  <c r="K15" i="2"/>
  <c r="P14" i="2"/>
  <c r="K14" i="2"/>
  <c r="P13" i="2"/>
  <c r="K13" i="2"/>
  <c r="P12" i="2"/>
  <c r="K12" i="2"/>
  <c r="P11" i="2"/>
  <c r="K11" i="2"/>
  <c r="P10" i="2"/>
  <c r="K10" i="2"/>
  <c r="P9" i="2"/>
  <c r="K9" i="2"/>
  <c r="P8" i="2"/>
  <c r="R23" i="2" l="1"/>
  <c r="E23" i="2" s="1"/>
  <c r="F23" i="2" s="1"/>
  <c r="R18" i="2"/>
  <c r="E18" i="2" s="1"/>
  <c r="R13" i="2"/>
  <c r="E13" i="2" s="1"/>
  <c r="F13" i="2" s="1"/>
  <c r="R11" i="2"/>
  <c r="E11" i="2" s="1"/>
  <c r="F11" i="2" s="1"/>
  <c r="U15" i="2" l="1"/>
  <c r="R15" i="2"/>
  <c r="E15" i="2" s="1"/>
  <c r="F15" i="2" s="1"/>
  <c r="T8" i="2"/>
  <c r="U8" i="2" s="1"/>
</calcChain>
</file>

<file path=xl/sharedStrings.xml><?xml version="1.0" encoding="utf-8"?>
<sst xmlns="http://schemas.openxmlformats.org/spreadsheetml/2006/main" count="341" uniqueCount="145">
  <si>
    <t>01.06.2025</t>
  </si>
  <si>
    <t>вс</t>
  </si>
  <si>
    <t>02.06.2025</t>
  </si>
  <si>
    <t>пн</t>
  </si>
  <si>
    <t>03.06.2025</t>
  </si>
  <si>
    <t>вт</t>
  </si>
  <si>
    <t>04.06.2025</t>
  </si>
  <si>
    <t>ср</t>
  </si>
  <si>
    <t>05.06.2025</t>
  </si>
  <si>
    <t>чт</t>
  </si>
  <si>
    <t>06.06.2025</t>
  </si>
  <si>
    <t>пт</t>
  </si>
  <si>
    <t>07.06.2025</t>
  </si>
  <si>
    <t>сб</t>
  </si>
  <si>
    <t>08.06.2025</t>
  </si>
  <si>
    <t>09.06.2025</t>
  </si>
  <si>
    <t>10.06.2025</t>
  </si>
  <si>
    <t>11.06.2025</t>
  </si>
  <si>
    <t>12.06.2025</t>
  </si>
  <si>
    <t>13.06.2025</t>
  </si>
  <si>
    <t>14.06.2025</t>
  </si>
  <si>
    <t>15.06.2025</t>
  </si>
  <si>
    <t>16.06.2025</t>
  </si>
  <si>
    <t>17.06.2025</t>
  </si>
  <si>
    <t>18.06.2025</t>
  </si>
  <si>
    <t>19.06.2025</t>
  </si>
  <si>
    <t>20.06.2025</t>
  </si>
  <si>
    <t>21.06.2025</t>
  </si>
  <si>
    <t>22.06.2025</t>
  </si>
  <si>
    <t>23.06.2025</t>
  </si>
  <si>
    <t>24.06.2025</t>
  </si>
  <si>
    <t>25.06.2025</t>
  </si>
  <si>
    <t>26.06.2025</t>
  </si>
  <si>
    <t>27.06.2025</t>
  </si>
  <si>
    <t>28.06.2025</t>
  </si>
  <si>
    <t>29.06.2025</t>
  </si>
  <si>
    <t>30.06.2025</t>
  </si>
  <si>
    <t>З початку місяця</t>
  </si>
  <si>
    <t>План на місяць</t>
  </si>
  <si>
    <t>№</t>
  </si>
  <si>
    <t>Всього</t>
  </si>
  <si>
    <t>199 Первомайский (РУЛЬКА)</t>
  </si>
  <si>
    <t>210 Люботин (ЩЕДРИК)</t>
  </si>
  <si>
    <t>220 Ольшаны (РУЛЬКА)</t>
  </si>
  <si>
    <t>222 Лозовая (РУЛЬКА)</t>
  </si>
  <si>
    <t>229 Красноград (РУЛЬКА)</t>
  </si>
  <si>
    <t>230 Чугуев (РУЛЬКА)</t>
  </si>
  <si>
    <t>235 Харьков (РУЛЬКА)</t>
  </si>
  <si>
    <t>240 Богодухов (РУЛЬКА)</t>
  </si>
  <si>
    <t>267 Пересичное (РУЛЬКА)</t>
  </si>
  <si>
    <t>271 Горького (ЩЕДРИК)</t>
  </si>
  <si>
    <t>282 Максимовка (ЩЕДРИК)</t>
  </si>
  <si>
    <t>100 БЦ (РУЛЬКА)</t>
  </si>
  <si>
    <t>101 БЦ (ЩЕДРИК)</t>
  </si>
  <si>
    <t>001 Днепр (РУЛЬКА)</t>
  </si>
  <si>
    <t>108 Киев (РУЛЬКА)</t>
  </si>
  <si>
    <t>Факт за місяць (розрахунково)</t>
  </si>
  <si>
    <t>Виконання за місяць</t>
  </si>
  <si>
    <t>Ковбаси. М'ясоковбасні делікатеси</t>
  </si>
  <si>
    <t>М'ясо та м'ясопродукти</t>
  </si>
  <si>
    <t>Сир</t>
  </si>
  <si>
    <t>Молочні продукти</t>
  </si>
  <si>
    <t>Яйце</t>
  </si>
  <si>
    <t>Заморожені продукти</t>
  </si>
  <si>
    <t>Риба та морепродукти</t>
  </si>
  <si>
    <t>Овочі. Фрукти. Ягоди. Зелень. Соління</t>
  </si>
  <si>
    <t>Власне виробництво</t>
  </si>
  <si>
    <t>Бакалія. Консервація</t>
  </si>
  <si>
    <t>Кондитерські вироби</t>
  </si>
  <si>
    <t>Алкогольні напої</t>
  </si>
  <si>
    <t>Тютюнові вироби</t>
  </si>
  <si>
    <t>Безалкогольні напої</t>
  </si>
  <si>
    <t>ХБВ</t>
  </si>
  <si>
    <t xml:space="preserve">Чай. Кава. Кавові напої </t>
  </si>
  <si>
    <t>Непродовольчі товари</t>
  </si>
  <si>
    <t>Списання факт, грн</t>
  </si>
  <si>
    <t>Списання, % виконання</t>
  </si>
  <si>
    <t>Повернення план, грн</t>
  </si>
  <si>
    <t>Повернення факт, грн</t>
  </si>
  <si>
    <t>Повернення, % виконання</t>
  </si>
  <si>
    <t>Інвентаризації план, грн</t>
  </si>
  <si>
    <t>Інвентаризації факт, грн</t>
  </si>
  <si>
    <t>Інвентаризації % виконання</t>
  </si>
  <si>
    <t xml:space="preserve">Списання план, % </t>
  </si>
  <si>
    <t>Списання факт, %</t>
  </si>
  <si>
    <t xml:space="preserve">Списання план, грн </t>
  </si>
  <si>
    <t>Повернення план, %</t>
  </si>
  <si>
    <t>Повернення факт, %</t>
  </si>
  <si>
    <t>Інвентаризації план, %</t>
  </si>
  <si>
    <t>Інвентаризації факт, %</t>
  </si>
  <si>
    <t>Втрати ціль %</t>
  </si>
  <si>
    <t>Втрати факт, %</t>
  </si>
  <si>
    <t>% виконання</t>
  </si>
  <si>
    <t>Разом % до ТО</t>
  </si>
  <si>
    <t>в т. ч. мережа % до ТО</t>
  </si>
  <si>
    <t>Втрати мережа, грн</t>
  </si>
  <si>
    <t>Втрати РЦ+Виробництво, грн</t>
  </si>
  <si>
    <t>Разом, грн</t>
  </si>
  <si>
    <t xml:space="preserve">Втрати </t>
  </si>
  <si>
    <t>Списання</t>
  </si>
  <si>
    <t>Повернення</t>
  </si>
  <si>
    <t>Інвентаризації</t>
  </si>
  <si>
    <t>Період</t>
  </si>
  <si>
    <t>Тиждень</t>
  </si>
  <si>
    <t>1С</t>
  </si>
  <si>
    <t>куб</t>
  </si>
  <si>
    <t xml:space="preserve">інвент </t>
  </si>
  <si>
    <t>Накопичувальний виторг і виконання плану</t>
  </si>
  <si>
    <t>Виторг за поточний місяць</t>
  </si>
  <si>
    <t>RANG</t>
  </si>
  <si>
    <t>nam3</t>
  </si>
  <si>
    <t>Всього:</t>
  </si>
  <si>
    <t>Снеки</t>
  </si>
  <si>
    <t>Хлібо-булочні вироби</t>
  </si>
  <si>
    <t>Чай. Кава. Кавові напої</t>
  </si>
  <si>
    <t>222 Лозовая склад возвратов</t>
  </si>
  <si>
    <t>Факт списання</t>
  </si>
  <si>
    <t>ціль</t>
  </si>
  <si>
    <t>списання план</t>
  </si>
  <si>
    <t>Факт грн</t>
  </si>
  <si>
    <t>БЦ</t>
  </si>
  <si>
    <t>Київ</t>
  </si>
  <si>
    <t>днепр</t>
  </si>
  <si>
    <t>харків</t>
  </si>
  <si>
    <t>інвент червень</t>
  </si>
  <si>
    <t>виторг червень</t>
  </si>
  <si>
    <t>категорр</t>
  </si>
  <si>
    <t>Харків</t>
  </si>
  <si>
    <t>Киів</t>
  </si>
  <si>
    <t>сумма</t>
  </si>
  <si>
    <t>снекі</t>
  </si>
  <si>
    <t>виторг</t>
  </si>
  <si>
    <t>план</t>
  </si>
  <si>
    <t>Регион</t>
  </si>
  <si>
    <t>Выторг</t>
  </si>
  <si>
    <t>Магазин</t>
  </si>
  <si>
    <t>Белая Церковь</t>
  </si>
  <si>
    <t>102 БЦ (РУЛЬКА)</t>
  </si>
  <si>
    <t>87 БЦ (ЩЕДРИК) Грушевского</t>
  </si>
  <si>
    <t>Днепр</t>
  </si>
  <si>
    <t>Киев</t>
  </si>
  <si>
    <t>Харьков</t>
  </si>
  <si>
    <t>Списания</t>
  </si>
  <si>
    <t>Недостачи инвент</t>
  </si>
  <si>
    <t>Зарплаты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</si>
</sst>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;[Red]\-0.00"/>
    <numFmt numFmtId="165" formatCode="#,##0.00_ ;[Red]\-#,##0.00\ "/>
    <numFmt numFmtId="166" formatCode="0.00_ ;[Red]\-0.00\ "/>
  </numFmts>
  <fonts count="19" x14ac:knownFonts="1">
    <font>
      <sz val="11"/>
      <color theme="1"/>
      <name val="Aptos Narrow"/>
      <family val="2"/>
      <charset val="204"/>
      <scheme val="minor"/>
    </font>
    <font>
      <sz val="8"/>
      <name val="Aptos Narrow"/>
      <family val="2"/>
      <charset val="204"/>
      <scheme val="minor"/>
    </font>
    <font>
      <b/>
      <sz val="10"/>
      <name val="Arial"/>
      <family val="2"/>
      <charset val="204"/>
    </font>
    <font>
      <b/>
      <sz val="10"/>
      <color rgb="FFFF0000"/>
      <name val="Arial"/>
      <family val="2"/>
      <charset val="204"/>
    </font>
    <font>
      <b/>
      <sz val="8"/>
      <name val="Arial"/>
      <family val="2"/>
      <charset val="204"/>
    </font>
    <font>
      <sz val="9"/>
      <name val="Arial"/>
      <family val="2"/>
      <charset val="204"/>
    </font>
    <font>
      <b/>
      <sz val="8"/>
      <color theme="1"/>
      <name val="Arial"/>
      <family val="2"/>
      <charset val="204"/>
    </font>
    <font>
      <sz val="8"/>
      <color theme="1"/>
      <name val="Arial"/>
      <family val="2"/>
      <charset val="204"/>
    </font>
    <font>
      <sz val="11"/>
      <color theme="1"/>
      <name val="Aptos Narrow"/>
      <family val="2"/>
      <charset val="204"/>
      <scheme val="minor"/>
    </font>
    <font>
      <sz val="8"/>
      <name val="Arial"/>
      <family val="2"/>
    </font>
    <font>
      <b/>
      <sz val="10"/>
      <name val="Arial Cyr"/>
      <charset val="204"/>
    </font>
    <font>
      <sz val="2"/>
      <color rgb="FFFFFFFF"/>
      <name val="Arial Cyr"/>
      <charset val="204"/>
    </font>
    <font>
      <sz val="10"/>
      <color rgb="FFFFFFFF"/>
      <name val="Arial Cyr"/>
      <charset val="204"/>
    </font>
    <font>
      <b/>
      <sz val="9"/>
      <name val="Arial"/>
      <family val="2"/>
      <charset val="204"/>
    </font>
    <font>
      <b/>
      <sz val="8"/>
      <color indexed="8"/>
      <name val="Arial"/>
      <family val="2"/>
    </font>
    <font>
      <b/>
      <sz val="8"/>
      <color theme="1"/>
      <name val="Arial"/>
      <family val="2"/>
    </font>
    <font>
      <sz val="8"/>
      <color indexed="10"/>
      <name val="Arial"/>
      <family val="2"/>
    </font>
    <font>
      <b/>
      <sz val="10"/>
      <color rgb="FFFFFFFF"/>
      <name val="Arial"/>
      <family val="2"/>
    </font>
    <font>
      <b/>
      <sz val="8"/>
      <color rgb="FF003366"/>
      <name val="Arial"/>
      <family val="2"/>
    </font>
  </fonts>
  <fills count="20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lightUp">
        <fgColor indexed="9"/>
        <bgColor rgb="FFCCFFCC"/>
      </patternFill>
    </fill>
    <fill>
      <patternFill patternType="lightUp">
        <fgColor indexed="9"/>
        <bgColor rgb="FFFFFF00"/>
      </patternFill>
    </fill>
    <fill>
      <patternFill patternType="solid">
        <fgColor rgb="FFF6FFCC"/>
        <bgColor indexed="64"/>
      </patternFill>
    </fill>
    <fill>
      <patternFill patternType="lightDown">
        <fgColor rgb="FFFFFFCC"/>
      </patternFill>
    </fill>
    <fill>
      <patternFill patternType="lightDown">
        <fgColor rgb="FFFFFFCC"/>
        <bgColor theme="0"/>
      </patternFill>
    </fill>
    <fill>
      <patternFill patternType="solid">
        <fgColor rgb="FFFFFF00"/>
        <bgColor indexed="64"/>
      </patternFill>
    </fill>
    <fill>
      <patternFill patternType="solid">
        <fgColor indexed="26"/>
        <bgColor indexed="64"/>
      </patternFill>
    </fill>
    <fill>
      <patternFill patternType="lightUp">
        <fgColor rgb="FFFFFFFF"/>
        <bgColor rgb="FFCCFFCC"/>
      </patternFill>
    </fill>
    <fill>
      <patternFill patternType="lightUp">
        <fgColor rgb="FFFFFFFF"/>
        <bgColor rgb="FFFFFF00"/>
      </patternFill>
    </fill>
    <fill>
      <patternFill patternType="solid">
        <fgColor rgb="FFFFFFFF"/>
        <bgColor rgb="FF000000"/>
      </patternFill>
    </fill>
    <fill>
      <patternFill patternType="solid">
        <fgColor rgb="FFF6FFCC"/>
        <bgColor rgb="FF000000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lightDown">
        <fgColor rgb="FFFFFFCC"/>
        <bgColor rgb="FFFFFF00"/>
      </patternFill>
    </fill>
    <fill>
      <patternFill patternType="solid">
        <fgColor rgb="FF4574A0"/>
        <bgColor auto="1"/>
      </patternFill>
    </fill>
    <fill>
      <patternFill patternType="solid">
        <fgColor rgb="FFC6E2FF"/>
        <bgColor auto="1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0"/>
      </left>
      <right style="thin">
        <color indexed="60"/>
      </right>
      <top style="thin">
        <color indexed="60"/>
      </top>
      <bottom style="thin">
        <color indexed="60"/>
      </bottom>
      <diagonal/>
    </border>
    <border>
      <left style="thin">
        <color indexed="26"/>
      </left>
      <right style="thin">
        <color indexed="26"/>
      </right>
      <top style="thin">
        <color indexed="26"/>
      </top>
      <bottom style="thin">
        <color indexed="26"/>
      </bottom>
      <diagonal/>
    </border>
    <border>
      <left/>
      <right style="thin">
        <color indexed="24"/>
      </right>
      <top style="thin">
        <color indexed="24"/>
      </top>
      <bottom style="thin">
        <color indexed="24"/>
      </bottom>
      <diagonal/>
    </border>
    <border>
      <left style="thin">
        <color indexed="24"/>
      </left>
      <right style="thin">
        <color indexed="24"/>
      </right>
      <top style="thin">
        <color indexed="24"/>
      </top>
      <bottom style="thin">
        <color indexed="2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D8AB9"/>
      </left>
      <right style="thin">
        <color rgb="FF7D8AB9"/>
      </right>
      <top style="thin">
        <color rgb="FF7D8AB9"/>
      </top>
      <bottom style="thin">
        <color rgb="FF7D8AB9"/>
      </bottom>
      <diagonal/>
    </border>
    <border>
      <left style="thin">
        <color rgb="FFBDC7EB"/>
      </left>
      <right style="thin">
        <color rgb="FFBDC7EB"/>
      </right>
      <top style="thin">
        <color rgb="FFBDC7EB"/>
      </top>
      <bottom/>
      <diagonal/>
    </border>
    <border>
      <left style="thin">
        <color rgb="FF7D8AB9"/>
      </left>
      <right style="thin">
        <color rgb="FF7D8AB9"/>
      </right>
      <top/>
      <bottom style="thin">
        <color rgb="FF7D8AB9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rgb="FF7D8AB9"/>
      </left>
      <right style="thin">
        <color rgb="FF7D8AB9"/>
      </right>
      <top style="medium">
        <color indexed="64"/>
      </top>
      <bottom style="thin">
        <color rgb="FF7D8AB9"/>
      </bottom>
      <diagonal/>
    </border>
    <border>
      <left style="thin">
        <color rgb="FF7D8AB9"/>
      </left>
      <right style="medium">
        <color indexed="64"/>
      </right>
      <top style="medium">
        <color indexed="64"/>
      </top>
      <bottom style="thin">
        <color rgb="FF7D8AB9"/>
      </bottom>
      <diagonal/>
    </border>
    <border>
      <left style="medium">
        <color indexed="64"/>
      </left>
      <right/>
      <top/>
      <bottom/>
      <diagonal/>
    </border>
    <border>
      <left style="thin">
        <color rgb="FF7D8AB9"/>
      </left>
      <right style="medium">
        <color indexed="64"/>
      </right>
      <top style="thin">
        <color rgb="FF7D8AB9"/>
      </top>
      <bottom style="thin">
        <color rgb="FF7D8AB9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rgb="FF7D8AB9"/>
      </left>
      <right style="thin">
        <color rgb="FF7D8AB9"/>
      </right>
      <top style="thin">
        <color rgb="FF7D8AB9"/>
      </top>
      <bottom style="medium">
        <color indexed="64"/>
      </bottom>
      <diagonal/>
    </border>
    <border>
      <left style="thin">
        <color rgb="FF7D8AB9"/>
      </left>
      <right style="medium">
        <color indexed="64"/>
      </right>
      <top style="thin">
        <color rgb="FF7D8AB9"/>
      </top>
      <bottom style="medium">
        <color indexed="64"/>
      </bottom>
      <diagonal/>
    </border>
  </borders>
  <cellStyleXfs count="5">
    <xf numFmtId="0" fontId="0" fillId="0" borderId="0"/>
    <xf numFmtId="0" fontId="8" fillId="0" borderId="0"/>
    <xf numFmtId="0" fontId="9" fillId="0" borderId="0"/>
    <xf numFmtId="0" fontId="9" fillId="0" borderId="0"/>
    <xf numFmtId="0" fontId="9" fillId="0" borderId="0"/>
  </cellStyleXfs>
  <cellXfs count="151">
    <xf numFmtId="0" fontId="0" fillId="0" borderId="0" xfId="0"/>
    <xf numFmtId="0" fontId="4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/>
    </xf>
    <xf numFmtId="0" fontId="5" fillId="6" borderId="1" xfId="0" applyFont="1" applyFill="1" applyBorder="1"/>
    <xf numFmtId="0" fontId="6" fillId="2" borderId="1" xfId="0" applyFont="1" applyFill="1" applyBorder="1" applyAlignment="1">
      <alignment horizontal="left"/>
    </xf>
    <xf numFmtId="0" fontId="6" fillId="2" borderId="1" xfId="0" applyFont="1" applyFill="1" applyBorder="1" applyAlignment="1">
      <alignment horizontal="center"/>
    </xf>
    <xf numFmtId="0" fontId="7" fillId="0" borderId="1" xfId="0" applyFont="1" applyBorder="1" applyAlignment="1">
      <alignment horizontal="left"/>
    </xf>
    <xf numFmtId="0" fontId="7" fillId="0" borderId="1" xfId="0" applyFont="1" applyBorder="1" applyAlignment="1">
      <alignment horizontal="center"/>
    </xf>
    <xf numFmtId="0" fontId="2" fillId="5" borderId="4" xfId="0" applyFont="1" applyFill="1" applyBorder="1" applyAlignment="1">
      <alignment vertical="center"/>
    </xf>
    <xf numFmtId="0" fontId="5" fillId="6" borderId="4" xfId="0" applyFont="1" applyFill="1" applyBorder="1" applyAlignment="1">
      <alignment vertical="center"/>
    </xf>
    <xf numFmtId="0" fontId="5" fillId="6" borderId="4" xfId="0" applyFont="1" applyFill="1" applyBorder="1"/>
    <xf numFmtId="0" fontId="4" fillId="3" borderId="10" xfId="0" applyFont="1" applyFill="1" applyBorder="1" applyAlignment="1">
      <alignment horizontal="center" vertical="center" wrapText="1"/>
    </xf>
    <xf numFmtId="0" fontId="5" fillId="6" borderId="10" xfId="0" applyFont="1" applyFill="1" applyBorder="1"/>
    <xf numFmtId="0" fontId="5" fillId="6" borderId="13" xfId="0" applyFont="1" applyFill="1" applyBorder="1"/>
    <xf numFmtId="3" fontId="2" fillId="5" borderId="1" xfId="0" applyNumberFormat="1" applyFont="1" applyFill="1" applyBorder="1" applyAlignment="1">
      <alignment vertical="center"/>
    </xf>
    <xf numFmtId="4" fontId="2" fillId="5" borderId="10" xfId="0" applyNumberFormat="1" applyFont="1" applyFill="1" applyBorder="1" applyAlignment="1">
      <alignment vertical="center"/>
    </xf>
    <xf numFmtId="4" fontId="5" fillId="6" borderId="9" xfId="0" applyNumberFormat="1" applyFont="1" applyFill="1" applyBorder="1"/>
    <xf numFmtId="3" fontId="5" fillId="6" borderId="1" xfId="0" applyNumberFormat="1" applyFont="1" applyFill="1" applyBorder="1"/>
    <xf numFmtId="3" fontId="5" fillId="6" borderId="12" xfId="0" applyNumberFormat="1" applyFont="1" applyFill="1" applyBorder="1"/>
    <xf numFmtId="4" fontId="2" fillId="5" borderId="9" xfId="0" applyNumberFormat="1" applyFont="1" applyFill="1" applyBorder="1" applyAlignment="1">
      <alignment vertical="center"/>
    </xf>
    <xf numFmtId="3" fontId="5" fillId="7" borderId="1" xfId="0" applyNumberFormat="1" applyFont="1" applyFill="1" applyBorder="1"/>
    <xf numFmtId="3" fontId="5" fillId="7" borderId="12" xfId="0" applyNumberFormat="1" applyFont="1" applyFill="1" applyBorder="1"/>
    <xf numFmtId="4" fontId="5" fillId="6" borderId="10" xfId="0" applyNumberFormat="1" applyFont="1" applyFill="1" applyBorder="1"/>
    <xf numFmtId="4" fontId="2" fillId="5" borderId="1" xfId="0" applyNumberFormat="1" applyFont="1" applyFill="1" applyBorder="1" applyAlignment="1">
      <alignment vertical="center"/>
    </xf>
    <xf numFmtId="4" fontId="5" fillId="6" borderId="1" xfId="0" applyNumberFormat="1" applyFont="1" applyFill="1" applyBorder="1"/>
    <xf numFmtId="0" fontId="5" fillId="6" borderId="9" xfId="0" applyFont="1" applyFill="1" applyBorder="1"/>
    <xf numFmtId="0" fontId="5" fillId="6" borderId="11" xfId="0" applyFont="1" applyFill="1" applyBorder="1"/>
    <xf numFmtId="0" fontId="4" fillId="3" borderId="9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2" fontId="5" fillId="6" borderId="10" xfId="0" applyNumberFormat="1" applyFont="1" applyFill="1" applyBorder="1"/>
    <xf numFmtId="4" fontId="5" fillId="6" borderId="13" xfId="0" applyNumberFormat="1" applyFont="1" applyFill="1" applyBorder="1"/>
    <xf numFmtId="2" fontId="5" fillId="6" borderId="13" xfId="0" applyNumberFormat="1" applyFont="1" applyFill="1" applyBorder="1"/>
    <xf numFmtId="0" fontId="2" fillId="5" borderId="9" xfId="0" applyFont="1" applyFill="1" applyBorder="1" applyAlignment="1">
      <alignment horizontal="left" vertical="center"/>
    </xf>
    <xf numFmtId="0" fontId="2" fillId="5" borderId="10" xfId="0" applyFont="1" applyFill="1" applyBorder="1" applyAlignment="1">
      <alignment horizontal="left" vertical="center"/>
    </xf>
    <xf numFmtId="4" fontId="5" fillId="6" borderId="11" xfId="0" applyNumberFormat="1" applyFont="1" applyFill="1" applyBorder="1"/>
    <xf numFmtId="4" fontId="5" fillId="6" borderId="12" xfId="0" applyNumberFormat="1" applyFont="1" applyFill="1" applyBorder="1"/>
    <xf numFmtId="0" fontId="4" fillId="3" borderId="9" xfId="0" applyFont="1" applyFill="1" applyBorder="1" applyAlignment="1">
      <alignment horizontal="center" vertical="center" wrapText="1"/>
    </xf>
    <xf numFmtId="3" fontId="2" fillId="5" borderId="1" xfId="0" applyNumberFormat="1" applyFont="1" applyFill="1" applyBorder="1" applyAlignment="1">
      <alignment horizontal="left" vertical="center"/>
    </xf>
    <xf numFmtId="4" fontId="2" fillId="5" borderId="9" xfId="0" applyNumberFormat="1" applyFont="1" applyFill="1" applyBorder="1" applyAlignment="1">
      <alignment horizontal="right" vertical="center"/>
    </xf>
    <xf numFmtId="3" fontId="0" fillId="0" borderId="0" xfId="0" applyNumberFormat="1"/>
    <xf numFmtId="0" fontId="0" fillId="0" borderId="1" xfId="0" applyBorder="1"/>
    <xf numFmtId="3" fontId="0" fillId="0" borderId="1" xfId="0" applyNumberFormat="1" applyBorder="1"/>
    <xf numFmtId="3" fontId="0" fillId="8" borderId="1" xfId="0" applyNumberFormat="1" applyFill="1" applyBorder="1"/>
    <xf numFmtId="4" fontId="9" fillId="9" borderId="17" xfId="3" applyNumberFormat="1" applyFill="1" applyBorder="1" applyAlignment="1">
      <alignment horizontal="right" vertical="top"/>
    </xf>
    <xf numFmtId="0" fontId="4" fillId="10" borderId="1" xfId="0" applyFont="1" applyFill="1" applyBorder="1" applyAlignment="1">
      <alignment horizontal="center" vertical="center" wrapText="1"/>
    </xf>
    <xf numFmtId="0" fontId="4" fillId="10" borderId="4" xfId="0" applyFont="1" applyFill="1" applyBorder="1" applyAlignment="1">
      <alignment horizontal="center" vertical="center" wrapText="1"/>
    </xf>
    <xf numFmtId="0" fontId="10" fillId="12" borderId="1" xfId="0" applyFont="1" applyFill="1" applyBorder="1"/>
    <xf numFmtId="0" fontId="11" fillId="12" borderId="1" xfId="0" applyFont="1" applyFill="1" applyBorder="1"/>
    <xf numFmtId="0" fontId="12" fillId="12" borderId="1" xfId="0" applyFont="1" applyFill="1" applyBorder="1"/>
    <xf numFmtId="0" fontId="2" fillId="13" borderId="1" xfId="0" applyFont="1" applyFill="1" applyBorder="1" applyAlignment="1">
      <alignment horizontal="center" vertical="center"/>
    </xf>
    <xf numFmtId="0" fontId="2" fillId="13" borderId="1" xfId="0" applyFont="1" applyFill="1" applyBorder="1" applyAlignment="1">
      <alignment vertical="center"/>
    </xf>
    <xf numFmtId="3" fontId="13" fillId="13" borderId="1" xfId="0" applyNumberFormat="1" applyFont="1" applyFill="1" applyBorder="1" applyAlignment="1">
      <alignment vertical="center"/>
    </xf>
    <xf numFmtId="0" fontId="5" fillId="6" borderId="1" xfId="0" applyFont="1" applyFill="1" applyBorder="1" applyAlignment="1">
      <alignment vertical="center"/>
    </xf>
    <xf numFmtId="3" fontId="5" fillId="6" borderId="1" xfId="0" applyNumberFormat="1" applyFont="1" applyFill="1" applyBorder="1" applyAlignment="1">
      <alignment vertical="center"/>
    </xf>
    <xf numFmtId="0" fontId="4" fillId="3" borderId="5" xfId="0" applyFont="1" applyFill="1" applyBorder="1" applyAlignment="1">
      <alignment horizontal="center" vertical="center"/>
    </xf>
    <xf numFmtId="4" fontId="0" fillId="0" borderId="0" xfId="0" applyNumberFormat="1"/>
    <xf numFmtId="2" fontId="5" fillId="6" borderId="9" xfId="0" applyNumberFormat="1" applyFont="1" applyFill="1" applyBorder="1"/>
    <xf numFmtId="0" fontId="15" fillId="15" borderId="1" xfId="2" applyFont="1" applyFill="1" applyBorder="1" applyAlignment="1">
      <alignment vertical="top" wrapText="1"/>
    </xf>
    <xf numFmtId="40" fontId="15" fillId="15" borderId="1" xfId="2" applyNumberFormat="1" applyFont="1" applyFill="1" applyBorder="1" applyAlignment="1">
      <alignment horizontal="right" vertical="top" wrapText="1"/>
    </xf>
    <xf numFmtId="164" fontId="15" fillId="15" borderId="1" xfId="2" applyNumberFormat="1" applyFont="1" applyFill="1" applyBorder="1" applyAlignment="1">
      <alignment horizontal="right" vertical="top" wrapText="1"/>
    </xf>
    <xf numFmtId="0" fontId="15" fillId="15" borderId="4" xfId="2" applyFont="1" applyFill="1" applyBorder="1" applyAlignment="1">
      <alignment vertical="top" wrapText="1"/>
    </xf>
    <xf numFmtId="165" fontId="9" fillId="0" borderId="1" xfId="2" applyNumberFormat="1" applyBorder="1"/>
    <xf numFmtId="0" fontId="4" fillId="3" borderId="4" xfId="0" applyFont="1" applyFill="1" applyBorder="1" applyAlignment="1">
      <alignment horizontal="center" vertical="center" wrapText="1"/>
    </xf>
    <xf numFmtId="4" fontId="2" fillId="5" borderId="4" xfId="0" applyNumberFormat="1" applyFont="1" applyFill="1" applyBorder="1" applyAlignment="1">
      <alignment vertical="center"/>
    </xf>
    <xf numFmtId="166" fontId="0" fillId="0" borderId="0" xfId="0" applyNumberFormat="1"/>
    <xf numFmtId="164" fontId="14" fillId="14" borderId="18" xfId="2" applyNumberFormat="1" applyFont="1" applyFill="1" applyBorder="1" applyAlignment="1">
      <alignment horizontal="right" vertical="top" wrapText="1"/>
    </xf>
    <xf numFmtId="164" fontId="14" fillId="14" borderId="1" xfId="2" applyNumberFormat="1" applyFont="1" applyFill="1" applyBorder="1" applyAlignment="1">
      <alignment horizontal="right" vertical="top" wrapText="1"/>
    </xf>
    <xf numFmtId="40" fontId="14" fillId="14" borderId="1" xfId="2" applyNumberFormat="1" applyFont="1" applyFill="1" applyBorder="1" applyAlignment="1">
      <alignment horizontal="right" vertical="top" wrapText="1"/>
    </xf>
    <xf numFmtId="0" fontId="9" fillId="0" borderId="1" xfId="2" applyBorder="1"/>
    <xf numFmtId="164" fontId="0" fillId="0" borderId="0" xfId="0" applyNumberFormat="1"/>
    <xf numFmtId="166" fontId="0" fillId="16" borderId="1" xfId="0" applyNumberFormat="1" applyFill="1" applyBorder="1"/>
    <xf numFmtId="4" fontId="9" fillId="16" borderId="19" xfId="2" applyNumberFormat="1" applyFill="1" applyBorder="1" applyAlignment="1">
      <alignment horizontal="right" vertical="top"/>
    </xf>
    <xf numFmtId="4" fontId="16" fillId="16" borderId="20" xfId="2" applyNumberFormat="1" applyFont="1" applyFill="1" applyBorder="1" applyAlignment="1">
      <alignment horizontal="right" vertical="top"/>
    </xf>
    <xf numFmtId="4" fontId="16" fillId="0" borderId="17" xfId="4" applyNumberFormat="1" applyFont="1" applyBorder="1" applyAlignment="1">
      <alignment horizontal="right" vertical="top"/>
    </xf>
    <xf numFmtId="4" fontId="9" fillId="9" borderId="17" xfId="4" applyNumberFormat="1" applyFill="1" applyBorder="1" applyAlignment="1">
      <alignment horizontal="right" vertical="top"/>
    </xf>
    <xf numFmtId="4" fontId="0" fillId="0" borderId="1" xfId="0" applyNumberFormat="1" applyBorder="1"/>
    <xf numFmtId="166" fontId="9" fillId="16" borderId="1" xfId="2" applyNumberFormat="1" applyFill="1" applyBorder="1"/>
    <xf numFmtId="2" fontId="9" fillId="16" borderId="19" xfId="2" applyNumberFormat="1" applyFill="1" applyBorder="1" applyAlignment="1">
      <alignment horizontal="right" vertical="top"/>
    </xf>
    <xf numFmtId="4" fontId="0" fillId="16" borderId="0" xfId="0" applyNumberFormat="1" applyFill="1"/>
    <xf numFmtId="4" fontId="9" fillId="16" borderId="20" xfId="2" applyNumberFormat="1" applyFill="1" applyBorder="1" applyAlignment="1">
      <alignment horizontal="right" vertical="top"/>
    </xf>
    <xf numFmtId="2" fontId="16" fillId="16" borderId="19" xfId="2" applyNumberFormat="1" applyFont="1" applyFill="1" applyBorder="1" applyAlignment="1">
      <alignment horizontal="right" vertical="top"/>
    </xf>
    <xf numFmtId="2" fontId="16" fillId="9" borderId="17" xfId="4" applyNumberFormat="1" applyFont="1" applyFill="1" applyBorder="1" applyAlignment="1">
      <alignment horizontal="right" vertical="top"/>
    </xf>
    <xf numFmtId="2" fontId="9" fillId="9" borderId="17" xfId="4" applyNumberFormat="1" applyFill="1" applyBorder="1" applyAlignment="1">
      <alignment horizontal="right" vertical="top"/>
    </xf>
    <xf numFmtId="4" fontId="16" fillId="16" borderId="19" xfId="2" applyNumberFormat="1" applyFont="1" applyFill="1" applyBorder="1" applyAlignment="1">
      <alignment horizontal="right" vertical="top"/>
    </xf>
    <xf numFmtId="4" fontId="16" fillId="9" borderId="17" xfId="4" applyNumberFormat="1" applyFont="1" applyFill="1" applyBorder="1" applyAlignment="1">
      <alignment horizontal="right" vertical="top"/>
    </xf>
    <xf numFmtId="0" fontId="0" fillId="16" borderId="21" xfId="0" applyFill="1" applyBorder="1"/>
    <xf numFmtId="4" fontId="0" fillId="16" borderId="1" xfId="0" applyNumberFormat="1" applyFill="1" applyBorder="1"/>
    <xf numFmtId="2" fontId="9" fillId="16" borderId="20" xfId="2" applyNumberFormat="1" applyFill="1" applyBorder="1" applyAlignment="1">
      <alignment horizontal="right" vertical="top"/>
    </xf>
    <xf numFmtId="0" fontId="0" fillId="16" borderId="1" xfId="0" applyFill="1" applyBorder="1"/>
    <xf numFmtId="0" fontId="13" fillId="6" borderId="9" xfId="0" applyFont="1" applyFill="1" applyBorder="1"/>
    <xf numFmtId="0" fontId="13" fillId="6" borderId="11" xfId="0" applyFont="1" applyFill="1" applyBorder="1"/>
    <xf numFmtId="0" fontId="5" fillId="17" borderId="13" xfId="0" applyFont="1" applyFill="1" applyBorder="1"/>
    <xf numFmtId="40" fontId="14" fillId="8" borderId="1" xfId="2" applyNumberFormat="1" applyFont="1" applyFill="1" applyBorder="1" applyAlignment="1">
      <alignment horizontal="right" vertical="top" wrapText="1"/>
    </xf>
    <xf numFmtId="0" fontId="0" fillId="8" borderId="1" xfId="0" applyFill="1" applyBorder="1"/>
    <xf numFmtId="164" fontId="14" fillId="8" borderId="1" xfId="2" applyNumberFormat="1" applyFont="1" applyFill="1" applyBorder="1" applyAlignment="1">
      <alignment horizontal="right" vertical="top" wrapText="1"/>
    </xf>
    <xf numFmtId="164" fontId="0" fillId="8" borderId="0" xfId="0" applyNumberFormat="1" applyFill="1"/>
    <xf numFmtId="0" fontId="0" fillId="8" borderId="0" xfId="0" applyFill="1"/>
    <xf numFmtId="3" fontId="5" fillId="7" borderId="0" xfId="0" applyNumberFormat="1" applyFont="1" applyFill="1"/>
    <xf numFmtId="0" fontId="4" fillId="10" borderId="0" xfId="0" applyFont="1" applyFill="1" applyAlignment="1">
      <alignment horizontal="center" vertical="center" wrapText="1"/>
    </xf>
    <xf numFmtId="0" fontId="12" fillId="12" borderId="0" xfId="0" applyFont="1" applyFill="1"/>
    <xf numFmtId="3" fontId="13" fillId="13" borderId="0" xfId="0" applyNumberFormat="1" applyFont="1" applyFill="1" applyAlignment="1">
      <alignment vertical="center"/>
    </xf>
    <xf numFmtId="3" fontId="5" fillId="6" borderId="0" xfId="0" applyNumberFormat="1" applyFont="1" applyFill="1" applyAlignment="1">
      <alignment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14" fontId="3" fillId="11" borderId="2" xfId="0" applyNumberFormat="1" applyFont="1" applyFill="1" applyBorder="1" applyAlignment="1">
      <alignment horizontal="center" vertical="center" wrapText="1"/>
    </xf>
    <xf numFmtId="14" fontId="3" fillId="11" borderId="3" xfId="0" applyNumberFormat="1" applyFont="1" applyFill="1" applyBorder="1" applyAlignment="1">
      <alignment horizontal="center" vertical="center" wrapText="1"/>
    </xf>
    <xf numFmtId="0" fontId="4" fillId="3" borderId="14" xfId="0" applyFont="1" applyFill="1" applyBorder="1" applyAlignment="1">
      <alignment horizontal="center" vertical="center"/>
    </xf>
    <xf numFmtId="0" fontId="4" fillId="3" borderId="15" xfId="0" applyFont="1" applyFill="1" applyBorder="1" applyAlignment="1">
      <alignment horizontal="center" vertical="center"/>
    </xf>
    <xf numFmtId="0" fontId="4" fillId="3" borderId="16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14" fontId="3" fillId="4" borderId="8" xfId="0" applyNumberFormat="1" applyFont="1" applyFill="1" applyBorder="1" applyAlignment="1">
      <alignment horizontal="center" vertical="center" wrapText="1"/>
    </xf>
    <xf numFmtId="14" fontId="3" fillId="4" borderId="5" xfId="0" applyNumberFormat="1" applyFont="1" applyFill="1" applyBorder="1" applyAlignment="1">
      <alignment horizontal="center" vertical="center" wrapText="1"/>
    </xf>
    <xf numFmtId="0" fontId="4" fillId="3" borderId="14" xfId="0" applyFont="1" applyFill="1" applyBorder="1" applyAlignment="1">
      <alignment horizontal="center" vertical="center" wrapText="1"/>
    </xf>
    <xf numFmtId="0" fontId="4" fillId="3" borderId="9" xfId="0" applyFont="1" applyFill="1" applyBorder="1" applyAlignment="1">
      <alignment horizontal="center" vertical="center" wrapText="1"/>
    </xf>
    <xf numFmtId="14" fontId="3" fillId="4" borderId="16" xfId="0" applyNumberFormat="1" applyFont="1" applyFill="1" applyBorder="1" applyAlignment="1">
      <alignment horizontal="center" vertical="center" wrapText="1"/>
    </xf>
    <xf numFmtId="14" fontId="3" fillId="4" borderId="10" xfId="0" applyNumberFormat="1" applyFont="1" applyFill="1" applyBorder="1" applyAlignment="1">
      <alignment horizontal="center" vertical="center" wrapText="1"/>
    </xf>
    <xf numFmtId="0" fontId="18" fillId="19" borderId="22" xfId="0" applyFont="1" applyFill="1" applyBorder="1" applyAlignment="1">
      <alignment horizontal="left" vertical="top" wrapText="1"/>
    </xf>
    <xf numFmtId="0" fontId="0" fillId="0" borderId="22" xfId="0" applyBorder="1" applyAlignment="1">
      <alignment horizontal="left" vertical="top" wrapText="1" indent="2"/>
    </xf>
    <xf numFmtId="4" fontId="0" fillId="0" borderId="22" xfId="0" applyNumberFormat="1" applyBorder="1" applyAlignment="1">
      <alignment horizontal="right" vertical="top"/>
    </xf>
    <xf numFmtId="0" fontId="0" fillId="0" borderId="0" xfId="0" applyAlignment="1">
      <alignment horizontal="left"/>
    </xf>
    <xf numFmtId="2" fontId="0" fillId="0" borderId="22" xfId="0" applyNumberFormat="1" applyBorder="1" applyAlignment="1">
      <alignment horizontal="right" vertical="top"/>
    </xf>
    <xf numFmtId="0" fontId="0" fillId="0" borderId="22" xfId="0" applyBorder="1" applyAlignment="1">
      <alignment horizontal="right" vertical="top"/>
    </xf>
    <xf numFmtId="17" fontId="0" fillId="0" borderId="0" xfId="0" applyNumberFormat="1"/>
    <xf numFmtId="0" fontId="17" fillId="18" borderId="23" xfId="0" applyFont="1" applyFill="1" applyBorder="1" applyAlignment="1">
      <alignment horizontal="left" vertical="top" wrapText="1"/>
    </xf>
    <xf numFmtId="0" fontId="17" fillId="18" borderId="23" xfId="0" applyFont="1" applyFill="1" applyBorder="1" applyAlignment="1">
      <alignment vertical="top" wrapText="1"/>
    </xf>
    <xf numFmtId="0" fontId="18" fillId="19" borderId="24" xfId="0" applyFont="1" applyFill="1" applyBorder="1" applyAlignment="1">
      <alignment horizontal="left" vertical="top" wrapText="1"/>
    </xf>
    <xf numFmtId="0" fontId="0" fillId="0" borderId="24" xfId="0" applyBorder="1" applyAlignment="1">
      <alignment horizontal="left" vertical="top" wrapText="1" indent="2"/>
    </xf>
    <xf numFmtId="4" fontId="0" fillId="0" borderId="24" xfId="0" applyNumberFormat="1" applyBorder="1" applyAlignment="1">
      <alignment horizontal="right" vertical="top"/>
    </xf>
    <xf numFmtId="17" fontId="0" fillId="0" borderId="25" xfId="0" applyNumberFormat="1" applyBorder="1"/>
    <xf numFmtId="0" fontId="18" fillId="19" borderId="26" xfId="0" applyFont="1" applyFill="1" applyBorder="1" applyAlignment="1">
      <alignment horizontal="left" vertical="top" wrapText="1"/>
    </xf>
    <xf numFmtId="0" fontId="0" fillId="0" borderId="26" xfId="0" applyBorder="1" applyAlignment="1">
      <alignment horizontal="left" vertical="top" wrapText="1" indent="2"/>
    </xf>
    <xf numFmtId="4" fontId="0" fillId="0" borderId="26" xfId="0" applyNumberFormat="1" applyBorder="1" applyAlignment="1">
      <alignment horizontal="right" vertical="top"/>
    </xf>
    <xf numFmtId="4" fontId="0" fillId="0" borderId="27" xfId="0" applyNumberFormat="1" applyBorder="1" applyAlignment="1">
      <alignment horizontal="right" vertical="top"/>
    </xf>
    <xf numFmtId="17" fontId="0" fillId="0" borderId="28" xfId="0" applyNumberFormat="1" applyBorder="1"/>
    <xf numFmtId="4" fontId="0" fillId="0" borderId="29" xfId="0" applyNumberFormat="1" applyBorder="1" applyAlignment="1">
      <alignment horizontal="right" vertical="top"/>
    </xf>
    <xf numFmtId="17" fontId="0" fillId="0" borderId="30" xfId="0" applyNumberFormat="1" applyBorder="1"/>
    <xf numFmtId="0" fontId="18" fillId="19" borderId="31" xfId="0" applyFont="1" applyFill="1" applyBorder="1" applyAlignment="1">
      <alignment horizontal="left" vertical="top" wrapText="1"/>
    </xf>
    <xf numFmtId="0" fontId="0" fillId="0" borderId="31" xfId="0" applyBorder="1" applyAlignment="1">
      <alignment horizontal="left" vertical="top" wrapText="1" indent="2"/>
    </xf>
    <xf numFmtId="4" fontId="0" fillId="0" borderId="31" xfId="0" applyNumberFormat="1" applyBorder="1" applyAlignment="1">
      <alignment horizontal="right" vertical="top"/>
    </xf>
    <xf numFmtId="4" fontId="0" fillId="0" borderId="32" xfId="0" applyNumberFormat="1" applyBorder="1" applyAlignment="1">
      <alignment horizontal="right" vertical="top"/>
    </xf>
  </cellXfs>
  <cellStyles count="5">
    <cellStyle name="Звичайний 2" xfId="2" xr:uid="{C31EC4C4-F000-4D89-9962-152BA9730606}"/>
    <cellStyle name="Звичайний_Аркуш1" xfId="3" xr:uid="{9233FC9A-3F50-4149-B55C-AFFF3487632E}"/>
    <cellStyle name="Звичайний_інвент" xfId="4" xr:uid="{6B9AB85D-5F48-4177-839C-A3DA505C8B2A}"/>
    <cellStyle name="Обычный" xfId="0" builtinId="0"/>
    <cellStyle name="Обычный 2" xfId="1" xr:uid="{C72CC819-2CA5-4328-85D1-157BF1B30A9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B1ACE4-9024-49E0-96F4-917676320D20}">
  <dimension ref="A1:G36"/>
  <sheetViews>
    <sheetView workbookViewId="0">
      <selection activeCell="A4" sqref="A4"/>
    </sheetView>
  </sheetViews>
  <sheetFormatPr defaultRowHeight="14.4" x14ac:dyDescent="0.3"/>
  <cols>
    <col min="1" max="1" width="13" bestFit="1" customWidth="1"/>
    <col min="2" max="2" width="9.33203125" bestFit="1" customWidth="1"/>
    <col min="3" max="3" width="11.5546875" bestFit="1" customWidth="1"/>
    <col min="4" max="4" width="17.109375" bestFit="1" customWidth="1"/>
    <col min="5" max="5" width="15.109375" bestFit="1" customWidth="1"/>
    <col min="6" max="6" width="22.6640625" bestFit="1" customWidth="1"/>
    <col min="7" max="7" width="17.33203125" customWidth="1"/>
  </cols>
  <sheetData>
    <row r="1" spans="1:7" ht="14.4" customHeight="1" x14ac:dyDescent="0.3">
      <c r="A1" s="109" t="s">
        <v>103</v>
      </c>
      <c r="B1" s="109" t="s">
        <v>102</v>
      </c>
      <c r="C1" s="107" t="s">
        <v>93</v>
      </c>
      <c r="D1" s="110" t="s">
        <v>94</v>
      </c>
      <c r="E1" s="107" t="s">
        <v>95</v>
      </c>
      <c r="F1" s="107" t="s">
        <v>96</v>
      </c>
      <c r="G1" s="105" t="s">
        <v>97</v>
      </c>
    </row>
    <row r="2" spans="1:7" ht="36" customHeight="1" x14ac:dyDescent="0.3">
      <c r="A2" s="108"/>
      <c r="B2" s="108"/>
      <c r="C2" s="108"/>
      <c r="D2" s="111"/>
      <c r="E2" s="108"/>
      <c r="F2" s="108"/>
      <c r="G2" s="106"/>
    </row>
    <row r="3" spans="1:7" x14ac:dyDescent="0.3">
      <c r="A3" s="7" t="s">
        <v>0</v>
      </c>
      <c r="B3" s="8" t="s">
        <v>1</v>
      </c>
      <c r="C3" s="8"/>
      <c r="D3" s="8"/>
      <c r="E3" s="8"/>
      <c r="F3" s="8"/>
      <c r="G3" s="8"/>
    </row>
    <row r="4" spans="1:7" x14ac:dyDescent="0.3">
      <c r="A4" s="9" t="s">
        <v>2</v>
      </c>
      <c r="B4" s="10" t="s">
        <v>3</v>
      </c>
      <c r="C4" s="10"/>
      <c r="D4" s="10"/>
      <c r="E4" s="10"/>
      <c r="F4" s="10"/>
      <c r="G4" s="10"/>
    </row>
    <row r="5" spans="1:7" x14ac:dyDescent="0.3">
      <c r="A5" s="9" t="s">
        <v>4</v>
      </c>
      <c r="B5" s="10" t="s">
        <v>5</v>
      </c>
      <c r="C5" s="10"/>
      <c r="D5" s="10"/>
      <c r="E5" s="10"/>
      <c r="F5" s="10"/>
      <c r="G5" s="10"/>
    </row>
    <row r="6" spans="1:7" x14ac:dyDescent="0.3">
      <c r="A6" s="9" t="s">
        <v>6</v>
      </c>
      <c r="B6" s="10" t="s">
        <v>7</v>
      </c>
      <c r="C6" s="10"/>
      <c r="D6" s="10"/>
      <c r="E6" s="10"/>
      <c r="F6" s="10"/>
      <c r="G6" s="10"/>
    </row>
    <row r="7" spans="1:7" x14ac:dyDescent="0.3">
      <c r="A7" s="9" t="s">
        <v>8</v>
      </c>
      <c r="B7" s="10" t="s">
        <v>9</v>
      </c>
      <c r="C7" s="10"/>
      <c r="D7" s="10"/>
      <c r="E7" s="10"/>
      <c r="F7" s="10"/>
      <c r="G7" s="10"/>
    </row>
    <row r="8" spans="1:7" x14ac:dyDescent="0.3">
      <c r="A8" s="9" t="s">
        <v>10</v>
      </c>
      <c r="B8" s="10" t="s">
        <v>11</v>
      </c>
      <c r="C8" s="10"/>
      <c r="D8" s="10"/>
      <c r="E8" s="10"/>
      <c r="F8" s="10"/>
      <c r="G8" s="10"/>
    </row>
    <row r="9" spans="1:7" x14ac:dyDescent="0.3">
      <c r="A9" s="7" t="s">
        <v>12</v>
      </c>
      <c r="B9" s="8" t="s">
        <v>13</v>
      </c>
      <c r="C9" s="8"/>
      <c r="D9" s="8"/>
      <c r="E9" s="8"/>
      <c r="F9" s="8"/>
      <c r="G9" s="8"/>
    </row>
    <row r="10" spans="1:7" x14ac:dyDescent="0.3">
      <c r="A10" s="7" t="s">
        <v>14</v>
      </c>
      <c r="B10" s="8" t="s">
        <v>1</v>
      </c>
      <c r="C10" s="8"/>
      <c r="D10" s="8"/>
      <c r="E10" s="8"/>
      <c r="F10" s="8"/>
      <c r="G10" s="8"/>
    </row>
    <row r="11" spans="1:7" x14ac:dyDescent="0.3">
      <c r="A11" s="9" t="s">
        <v>15</v>
      </c>
      <c r="B11" s="10" t="s">
        <v>3</v>
      </c>
      <c r="C11" s="10"/>
      <c r="D11" s="10"/>
      <c r="E11" s="10"/>
      <c r="F11" s="10"/>
      <c r="G11" s="10"/>
    </row>
    <row r="12" spans="1:7" x14ac:dyDescent="0.3">
      <c r="A12" s="9" t="s">
        <v>16</v>
      </c>
      <c r="B12" s="10" t="s">
        <v>5</v>
      </c>
      <c r="C12" s="10"/>
      <c r="D12" s="10"/>
      <c r="E12" s="10"/>
      <c r="F12" s="10"/>
      <c r="G12" s="10"/>
    </row>
    <row r="13" spans="1:7" x14ac:dyDescent="0.3">
      <c r="A13" s="9" t="s">
        <v>17</v>
      </c>
      <c r="B13" s="10" t="s">
        <v>7</v>
      </c>
      <c r="C13" s="10"/>
      <c r="D13" s="10"/>
      <c r="E13" s="10"/>
      <c r="F13" s="10"/>
      <c r="G13" s="10"/>
    </row>
    <row r="14" spans="1:7" x14ac:dyDescent="0.3">
      <c r="A14" s="9" t="s">
        <v>18</v>
      </c>
      <c r="B14" s="10" t="s">
        <v>9</v>
      </c>
      <c r="C14" s="10"/>
      <c r="D14" s="10"/>
      <c r="E14" s="10"/>
      <c r="F14" s="10"/>
      <c r="G14" s="10"/>
    </row>
    <row r="15" spans="1:7" x14ac:dyDescent="0.3">
      <c r="A15" s="9" t="s">
        <v>19</v>
      </c>
      <c r="B15" s="10" t="s">
        <v>11</v>
      </c>
      <c r="C15" s="10"/>
      <c r="D15" s="10"/>
      <c r="E15" s="10"/>
      <c r="F15" s="10"/>
      <c r="G15" s="10"/>
    </row>
    <row r="16" spans="1:7" x14ac:dyDescent="0.3">
      <c r="A16" s="7" t="s">
        <v>20</v>
      </c>
      <c r="B16" s="8" t="s">
        <v>13</v>
      </c>
      <c r="C16" s="8"/>
      <c r="D16" s="8"/>
      <c r="E16" s="8"/>
      <c r="F16" s="8"/>
      <c r="G16" s="8"/>
    </row>
    <row r="17" spans="1:7" x14ac:dyDescent="0.3">
      <c r="A17" s="7" t="s">
        <v>21</v>
      </c>
      <c r="B17" s="8" t="s">
        <v>1</v>
      </c>
      <c r="C17" s="8"/>
      <c r="D17" s="8"/>
      <c r="E17" s="8"/>
      <c r="F17" s="8"/>
      <c r="G17" s="8"/>
    </row>
    <row r="18" spans="1:7" x14ac:dyDescent="0.3">
      <c r="A18" s="9" t="s">
        <v>22</v>
      </c>
      <c r="B18" s="10" t="s">
        <v>3</v>
      </c>
      <c r="C18" s="10"/>
      <c r="D18" s="10"/>
      <c r="E18" s="10"/>
      <c r="F18" s="10"/>
      <c r="G18" s="10"/>
    </row>
    <row r="19" spans="1:7" x14ac:dyDescent="0.3">
      <c r="A19" s="9" t="s">
        <v>23</v>
      </c>
      <c r="B19" s="10" t="s">
        <v>5</v>
      </c>
      <c r="C19" s="10"/>
      <c r="D19" s="10"/>
      <c r="E19" s="10"/>
      <c r="F19" s="10"/>
      <c r="G19" s="10"/>
    </row>
    <row r="20" spans="1:7" x14ac:dyDescent="0.3">
      <c r="A20" s="9" t="s">
        <v>24</v>
      </c>
      <c r="B20" s="10" t="s">
        <v>7</v>
      </c>
      <c r="C20" s="10"/>
      <c r="D20" s="10"/>
      <c r="E20" s="10"/>
      <c r="F20" s="10"/>
      <c r="G20" s="10"/>
    </row>
    <row r="21" spans="1:7" x14ac:dyDescent="0.3">
      <c r="A21" s="9" t="s">
        <v>25</v>
      </c>
      <c r="B21" s="10" t="s">
        <v>9</v>
      </c>
      <c r="C21" s="10"/>
      <c r="D21" s="10"/>
      <c r="E21" s="10"/>
      <c r="F21" s="10"/>
      <c r="G21" s="10"/>
    </row>
    <row r="22" spans="1:7" x14ac:dyDescent="0.3">
      <c r="A22" s="9" t="s">
        <v>26</v>
      </c>
      <c r="B22" s="10" t="s">
        <v>11</v>
      </c>
      <c r="C22" s="10"/>
      <c r="D22" s="10"/>
      <c r="E22" s="10"/>
      <c r="F22" s="10"/>
      <c r="G22" s="10"/>
    </row>
    <row r="23" spans="1:7" x14ac:dyDescent="0.3">
      <c r="A23" s="7" t="s">
        <v>27</v>
      </c>
      <c r="B23" s="8" t="s">
        <v>13</v>
      </c>
      <c r="C23" s="8"/>
      <c r="D23" s="8"/>
      <c r="E23" s="8"/>
      <c r="F23" s="8"/>
      <c r="G23" s="8"/>
    </row>
    <row r="24" spans="1:7" x14ac:dyDescent="0.3">
      <c r="A24" s="7" t="s">
        <v>28</v>
      </c>
      <c r="B24" s="8" t="s">
        <v>1</v>
      </c>
      <c r="C24" s="8"/>
      <c r="D24" s="8"/>
      <c r="E24" s="8"/>
      <c r="F24" s="8"/>
      <c r="G24" s="8"/>
    </row>
    <row r="25" spans="1:7" x14ac:dyDescent="0.3">
      <c r="A25" s="9" t="s">
        <v>29</v>
      </c>
      <c r="B25" s="10" t="s">
        <v>3</v>
      </c>
      <c r="C25" s="10"/>
      <c r="D25" s="10"/>
      <c r="E25" s="10"/>
      <c r="F25" s="10"/>
      <c r="G25" s="10"/>
    </row>
    <row r="26" spans="1:7" x14ac:dyDescent="0.3">
      <c r="A26" s="9" t="s">
        <v>30</v>
      </c>
      <c r="B26" s="10" t="s">
        <v>5</v>
      </c>
      <c r="C26" s="10"/>
      <c r="D26" s="10"/>
      <c r="E26" s="10"/>
      <c r="F26" s="10"/>
      <c r="G26" s="10"/>
    </row>
    <row r="27" spans="1:7" x14ac:dyDescent="0.3">
      <c r="A27" s="9" t="s">
        <v>31</v>
      </c>
      <c r="B27" s="10" t="s">
        <v>7</v>
      </c>
      <c r="C27" s="10"/>
      <c r="D27" s="10"/>
      <c r="E27" s="10"/>
      <c r="F27" s="10"/>
      <c r="G27" s="10"/>
    </row>
    <row r="28" spans="1:7" x14ac:dyDescent="0.3">
      <c r="A28" s="9" t="s">
        <v>32</v>
      </c>
      <c r="B28" s="10" t="s">
        <v>9</v>
      </c>
      <c r="C28" s="10"/>
      <c r="D28" s="10"/>
      <c r="E28" s="10"/>
      <c r="F28" s="10"/>
      <c r="G28" s="10"/>
    </row>
    <row r="29" spans="1:7" x14ac:dyDescent="0.3">
      <c r="A29" s="9" t="s">
        <v>33</v>
      </c>
      <c r="B29" s="10" t="s">
        <v>11</v>
      </c>
      <c r="C29" s="10"/>
      <c r="D29" s="10"/>
      <c r="E29" s="10"/>
      <c r="F29" s="10"/>
      <c r="G29" s="10"/>
    </row>
    <row r="30" spans="1:7" x14ac:dyDescent="0.3">
      <c r="A30" s="7" t="s">
        <v>34</v>
      </c>
      <c r="B30" s="8" t="s">
        <v>13</v>
      </c>
      <c r="C30" s="8"/>
      <c r="D30" s="8"/>
      <c r="E30" s="8"/>
      <c r="F30" s="8"/>
      <c r="G30" s="8"/>
    </row>
    <row r="31" spans="1:7" x14ac:dyDescent="0.3">
      <c r="A31" s="7" t="s">
        <v>35</v>
      </c>
      <c r="B31" s="8" t="s">
        <v>1</v>
      </c>
      <c r="C31" s="8"/>
      <c r="D31" s="8"/>
      <c r="E31" s="8"/>
      <c r="F31" s="8"/>
      <c r="G31" s="8"/>
    </row>
    <row r="32" spans="1:7" x14ac:dyDescent="0.3">
      <c r="A32" s="9" t="s">
        <v>36</v>
      </c>
      <c r="B32" s="10" t="s">
        <v>3</v>
      </c>
      <c r="C32" s="10"/>
      <c r="D32" s="10"/>
      <c r="E32" s="10"/>
      <c r="F32" s="10"/>
      <c r="G32" s="10"/>
    </row>
    <row r="33" spans="1:7" ht="20.399999999999999" x14ac:dyDescent="0.3">
      <c r="A33" s="1" t="s">
        <v>37</v>
      </c>
      <c r="B33" s="1"/>
      <c r="C33" s="1"/>
      <c r="D33" s="1"/>
      <c r="E33" s="1"/>
      <c r="F33" s="1"/>
      <c r="G33" s="1"/>
    </row>
    <row r="34" spans="1:7" x14ac:dyDescent="0.3">
      <c r="A34" s="1" t="s">
        <v>38</v>
      </c>
      <c r="B34" s="1"/>
      <c r="C34" s="1"/>
      <c r="D34" s="1"/>
      <c r="E34" s="1"/>
      <c r="F34" s="1"/>
      <c r="G34" s="1"/>
    </row>
    <row r="35" spans="1:7" ht="20.399999999999999" x14ac:dyDescent="0.3">
      <c r="A35" s="1" t="s">
        <v>56</v>
      </c>
      <c r="B35" s="1"/>
      <c r="C35" s="1"/>
      <c r="D35" s="1"/>
      <c r="E35" s="1"/>
      <c r="F35" s="1"/>
      <c r="G35" s="1"/>
    </row>
    <row r="36" spans="1:7" ht="20.399999999999999" x14ac:dyDescent="0.3">
      <c r="A36" s="1" t="s">
        <v>57</v>
      </c>
      <c r="B36" s="1"/>
      <c r="C36" s="1"/>
      <c r="D36" s="1"/>
      <c r="E36" s="1"/>
      <c r="F36" s="1"/>
      <c r="G36" s="1"/>
    </row>
  </sheetData>
  <mergeCells count="7">
    <mergeCell ref="G1:G2"/>
    <mergeCell ref="F1:F2"/>
    <mergeCell ref="E1:E2"/>
    <mergeCell ref="A1:A2"/>
    <mergeCell ref="B1:B2"/>
    <mergeCell ref="C1:C2"/>
    <mergeCell ref="D1:D2"/>
  </mergeCells>
  <phoneticPr fontId="1" type="noConversion"/>
  <pageMargins left="0.7" right="0.7" top="0.75" bottom="0.75" header="0.3" footer="0.3"/>
  <customProperties>
    <customPr name="LastActive" r:id="rId1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6003CD-E9A4-4FFD-9384-CF0C465E0C98}">
  <dimension ref="C3:I37"/>
  <sheetViews>
    <sheetView tabSelected="1" workbookViewId="0">
      <selection activeCell="M25" sqref="M25"/>
    </sheetView>
  </sheetViews>
  <sheetFormatPr defaultRowHeight="14.4" x14ac:dyDescent="0.3"/>
  <cols>
    <col min="3" max="4" width="15.88671875" customWidth="1"/>
    <col min="5" max="5" width="37.33203125" style="130" customWidth="1"/>
    <col min="6" max="6" width="15.109375" style="130" customWidth="1"/>
    <col min="7" max="7" width="14.21875" style="130" customWidth="1"/>
    <col min="8" max="8" width="26.88671875" style="130" customWidth="1"/>
    <col min="9" max="9" width="13.21875" style="130" customWidth="1"/>
  </cols>
  <sheetData>
    <row r="3" spans="3:9" ht="15" thickBot="1" x14ac:dyDescent="0.35">
      <c r="C3" s="134" t="s">
        <v>102</v>
      </c>
      <c r="D3" s="134" t="s">
        <v>133</v>
      </c>
      <c r="E3" s="134" t="s">
        <v>135</v>
      </c>
      <c r="F3" s="135" t="s">
        <v>134</v>
      </c>
      <c r="G3" s="135" t="s">
        <v>142</v>
      </c>
      <c r="H3" s="135" t="s">
        <v>143</v>
      </c>
      <c r="I3" s="135" t="s">
        <v>144</v>
      </c>
    </row>
    <row r="4" spans="3:9" x14ac:dyDescent="0.3">
      <c r="C4" s="139">
        <v>45809</v>
      </c>
      <c r="D4" s="140" t="s">
        <v>136</v>
      </c>
      <c r="E4" s="141" t="s">
        <v>52</v>
      </c>
      <c r="F4" s="142">
        <v>22377804.719999999</v>
      </c>
      <c r="G4" s="142">
        <v>278296.7</v>
      </c>
      <c r="H4" s="142">
        <v>452006.75</v>
      </c>
      <c r="I4" s="143">
        <v>1129236.25</v>
      </c>
    </row>
    <row r="5" spans="3:9" x14ac:dyDescent="0.3">
      <c r="C5" s="144">
        <v>45809</v>
      </c>
      <c r="D5" s="127" t="s">
        <v>136</v>
      </c>
      <c r="E5" s="128" t="s">
        <v>53</v>
      </c>
      <c r="F5" s="129">
        <v>2296569.0099999998</v>
      </c>
      <c r="G5" s="129">
        <v>2450.86</v>
      </c>
      <c r="H5" s="129">
        <v>22035.74</v>
      </c>
      <c r="I5" s="145">
        <v>112435</v>
      </c>
    </row>
    <row r="6" spans="3:9" x14ac:dyDescent="0.3">
      <c r="C6" s="144">
        <v>45809</v>
      </c>
      <c r="D6" s="127" t="s">
        <v>136</v>
      </c>
      <c r="E6" s="128" t="s">
        <v>137</v>
      </c>
      <c r="F6" s="129">
        <v>8754757.2799999993</v>
      </c>
      <c r="G6" s="129">
        <v>2613.98</v>
      </c>
      <c r="H6" s="129">
        <v>11687.46</v>
      </c>
      <c r="I6" s="145">
        <v>881288</v>
      </c>
    </row>
    <row r="7" spans="3:9" x14ac:dyDescent="0.3">
      <c r="C7" s="144">
        <v>45809</v>
      </c>
      <c r="D7" s="127" t="s">
        <v>136</v>
      </c>
      <c r="E7" s="128" t="s">
        <v>138</v>
      </c>
      <c r="F7" s="129">
        <v>3156377.33</v>
      </c>
      <c r="G7" s="129">
        <v>8713.2800000000007</v>
      </c>
      <c r="H7" s="129">
        <v>96077.08</v>
      </c>
      <c r="I7" s="145">
        <v>193900</v>
      </c>
    </row>
    <row r="8" spans="3:9" x14ac:dyDescent="0.3">
      <c r="C8" s="144">
        <v>45809</v>
      </c>
      <c r="D8" s="127" t="s">
        <v>139</v>
      </c>
      <c r="E8" s="128" t="s">
        <v>54</v>
      </c>
      <c r="F8" s="129">
        <v>8782254.2200000007</v>
      </c>
      <c r="G8" s="129">
        <v>114550.21</v>
      </c>
      <c r="H8" s="129">
        <v>215004.99</v>
      </c>
      <c r="I8" s="145">
        <v>560636.86</v>
      </c>
    </row>
    <row r="9" spans="3:9" x14ac:dyDescent="0.3">
      <c r="C9" s="144">
        <v>45809</v>
      </c>
      <c r="D9" s="127" t="s">
        <v>140</v>
      </c>
      <c r="E9" s="128" t="s">
        <v>55</v>
      </c>
      <c r="F9" s="129">
        <v>6331291.4800000004</v>
      </c>
      <c r="G9" s="131">
        <v>848.46</v>
      </c>
      <c r="H9" s="129">
        <v>55561.33</v>
      </c>
      <c r="I9" s="145">
        <v>357491.39</v>
      </c>
    </row>
    <row r="10" spans="3:9" x14ac:dyDescent="0.3">
      <c r="C10" s="144">
        <v>45809</v>
      </c>
      <c r="D10" s="127" t="s">
        <v>141</v>
      </c>
      <c r="E10" s="128" t="s">
        <v>41</v>
      </c>
      <c r="F10" s="129">
        <v>15570538.48</v>
      </c>
      <c r="G10" s="129">
        <v>175447.9</v>
      </c>
      <c r="H10" s="129">
        <v>272389.03000000003</v>
      </c>
      <c r="I10" s="145">
        <v>787796.12</v>
      </c>
    </row>
    <row r="11" spans="3:9" x14ac:dyDescent="0.3">
      <c r="C11" s="144">
        <v>45809</v>
      </c>
      <c r="D11" s="127" t="s">
        <v>141</v>
      </c>
      <c r="E11" s="128" t="s">
        <v>42</v>
      </c>
      <c r="F11" s="129">
        <v>3787951.38</v>
      </c>
      <c r="G11" s="129">
        <v>46493.04</v>
      </c>
      <c r="H11" s="129">
        <v>76596.06</v>
      </c>
      <c r="I11" s="145">
        <v>218845.31</v>
      </c>
    </row>
    <row r="12" spans="3:9" x14ac:dyDescent="0.3">
      <c r="C12" s="144">
        <v>45809</v>
      </c>
      <c r="D12" s="127" t="s">
        <v>141</v>
      </c>
      <c r="E12" s="128" t="s">
        <v>43</v>
      </c>
      <c r="F12" s="129">
        <v>19295921.5</v>
      </c>
      <c r="G12" s="129">
        <v>173219.16</v>
      </c>
      <c r="H12" s="129">
        <v>10841.97</v>
      </c>
      <c r="I12" s="145">
        <v>918662.31</v>
      </c>
    </row>
    <row r="13" spans="3:9" x14ac:dyDescent="0.3">
      <c r="C13" s="144">
        <v>45809</v>
      </c>
      <c r="D13" s="127" t="s">
        <v>141</v>
      </c>
      <c r="E13" s="128" t="s">
        <v>44</v>
      </c>
      <c r="F13" s="129">
        <v>21928287.18</v>
      </c>
      <c r="G13" s="129">
        <v>245143.75</v>
      </c>
      <c r="H13" s="129">
        <v>258047.3</v>
      </c>
      <c r="I13" s="145">
        <v>1075360.1000000001</v>
      </c>
    </row>
    <row r="14" spans="3:9" x14ac:dyDescent="0.3">
      <c r="C14" s="144">
        <v>45809</v>
      </c>
      <c r="D14" s="127" t="s">
        <v>141</v>
      </c>
      <c r="E14" s="128" t="s">
        <v>45</v>
      </c>
      <c r="F14" s="129">
        <v>16592421.289999999</v>
      </c>
      <c r="G14" s="129">
        <v>166414.34</v>
      </c>
      <c r="H14" s="129">
        <v>21085.25</v>
      </c>
      <c r="I14" s="145">
        <v>775214.89</v>
      </c>
    </row>
    <row r="15" spans="3:9" x14ac:dyDescent="0.3">
      <c r="C15" s="144">
        <v>45809</v>
      </c>
      <c r="D15" s="127" t="s">
        <v>141</v>
      </c>
      <c r="E15" s="128" t="s">
        <v>46</v>
      </c>
      <c r="F15" s="129">
        <v>24732366.73</v>
      </c>
      <c r="G15" s="129">
        <v>138177.79</v>
      </c>
      <c r="H15" s="129">
        <v>19775.87</v>
      </c>
      <c r="I15" s="145">
        <v>949887.36</v>
      </c>
    </row>
    <row r="16" spans="3:9" x14ac:dyDescent="0.3">
      <c r="C16" s="144">
        <v>45809</v>
      </c>
      <c r="D16" s="127" t="s">
        <v>141</v>
      </c>
      <c r="E16" s="128" t="s">
        <v>47</v>
      </c>
      <c r="F16" s="129">
        <v>6727481.3700000001</v>
      </c>
      <c r="G16" s="129">
        <v>85377.279999999999</v>
      </c>
      <c r="H16" s="129">
        <v>167922.88</v>
      </c>
      <c r="I16" s="145">
        <v>464714.09</v>
      </c>
    </row>
    <row r="17" spans="3:9" x14ac:dyDescent="0.3">
      <c r="C17" s="144">
        <v>45809</v>
      </c>
      <c r="D17" s="127" t="s">
        <v>141</v>
      </c>
      <c r="E17" s="128" t="s">
        <v>48</v>
      </c>
      <c r="F17" s="129">
        <v>30236809.890000001</v>
      </c>
      <c r="G17" s="129">
        <v>235038.9</v>
      </c>
      <c r="H17" s="129">
        <v>405668.69</v>
      </c>
      <c r="I17" s="145">
        <v>1233206.29</v>
      </c>
    </row>
    <row r="18" spans="3:9" x14ac:dyDescent="0.3">
      <c r="C18" s="144">
        <v>45809</v>
      </c>
      <c r="D18" s="127" t="s">
        <v>141</v>
      </c>
      <c r="E18" s="128" t="s">
        <v>49</v>
      </c>
      <c r="F18" s="129">
        <v>16641580.289999999</v>
      </c>
      <c r="G18" s="129">
        <v>146123.65</v>
      </c>
      <c r="H18" s="129">
        <v>275905.56</v>
      </c>
      <c r="I18" s="145">
        <v>824999.73</v>
      </c>
    </row>
    <row r="19" spans="3:9" x14ac:dyDescent="0.3">
      <c r="C19" s="144">
        <v>45809</v>
      </c>
      <c r="D19" s="127" t="s">
        <v>141</v>
      </c>
      <c r="E19" s="128" t="s">
        <v>50</v>
      </c>
      <c r="F19" s="129">
        <v>1178225.1299999999</v>
      </c>
      <c r="G19" s="129">
        <v>14922.41</v>
      </c>
      <c r="H19" s="132"/>
      <c r="I19" s="145">
        <v>64147.12</v>
      </c>
    </row>
    <row r="20" spans="3:9" ht="15" thickBot="1" x14ac:dyDescent="0.35">
      <c r="C20" s="146">
        <v>45809</v>
      </c>
      <c r="D20" s="147" t="s">
        <v>141</v>
      </c>
      <c r="E20" s="148" t="s">
        <v>51</v>
      </c>
      <c r="F20" s="149">
        <v>3227731.96</v>
      </c>
      <c r="G20" s="149">
        <v>45634.55</v>
      </c>
      <c r="H20" s="149">
        <v>68818.87</v>
      </c>
      <c r="I20" s="150">
        <v>189660.15</v>
      </c>
    </row>
    <row r="21" spans="3:9" x14ac:dyDescent="0.3">
      <c r="C21" s="133">
        <v>45839</v>
      </c>
      <c r="D21" s="136" t="s">
        <v>141</v>
      </c>
      <c r="E21" s="137" t="s">
        <v>52</v>
      </c>
      <c r="F21" s="138">
        <v>23351606.629999999</v>
      </c>
      <c r="G21" s="138">
        <v>340116.97</v>
      </c>
      <c r="H21" s="138">
        <v>905066.28</v>
      </c>
      <c r="I21" s="138">
        <v>1183687.8500000001</v>
      </c>
    </row>
    <row r="22" spans="3:9" x14ac:dyDescent="0.3">
      <c r="C22" s="133">
        <v>45839</v>
      </c>
      <c r="D22" s="127" t="s">
        <v>141</v>
      </c>
      <c r="E22" s="128" t="s">
        <v>53</v>
      </c>
      <c r="F22" s="129">
        <v>2507130.58</v>
      </c>
      <c r="G22" s="131">
        <v>906.39</v>
      </c>
      <c r="H22" s="129">
        <v>72053.38</v>
      </c>
      <c r="I22" s="129">
        <v>134775</v>
      </c>
    </row>
    <row r="23" spans="3:9" x14ac:dyDescent="0.3">
      <c r="C23" s="133">
        <v>45839</v>
      </c>
      <c r="D23" s="127" t="s">
        <v>141</v>
      </c>
      <c r="E23" s="128" t="s">
        <v>137</v>
      </c>
      <c r="F23" s="129">
        <v>17154613.550000001</v>
      </c>
      <c r="G23" s="129">
        <v>219251.72</v>
      </c>
      <c r="H23" s="129">
        <v>26162.53</v>
      </c>
      <c r="I23" s="129">
        <v>950479.86</v>
      </c>
    </row>
    <row r="24" spans="3:9" x14ac:dyDescent="0.3">
      <c r="C24" s="133">
        <v>45839</v>
      </c>
      <c r="D24" s="127" t="s">
        <v>141</v>
      </c>
      <c r="E24" s="128" t="s">
        <v>138</v>
      </c>
      <c r="F24" s="129">
        <v>3261158.66</v>
      </c>
      <c r="G24" s="129">
        <v>11393.01</v>
      </c>
      <c r="H24" s="129">
        <v>69063.679999999993</v>
      </c>
      <c r="I24" s="129">
        <v>215080.68</v>
      </c>
    </row>
    <row r="25" spans="3:9" x14ac:dyDescent="0.3">
      <c r="C25" s="133">
        <v>45839</v>
      </c>
      <c r="D25" s="127" t="s">
        <v>139</v>
      </c>
      <c r="E25" s="128" t="s">
        <v>54</v>
      </c>
      <c r="F25" s="129">
        <v>8996043.75</v>
      </c>
      <c r="G25" s="129">
        <v>152767.69</v>
      </c>
      <c r="H25" s="129">
        <v>7136.64</v>
      </c>
      <c r="I25" s="129">
        <v>634099.98</v>
      </c>
    </row>
    <row r="26" spans="3:9" x14ac:dyDescent="0.3">
      <c r="C26" s="133">
        <v>45839</v>
      </c>
      <c r="D26" s="127" t="s">
        <v>140</v>
      </c>
      <c r="E26" s="128" t="s">
        <v>55</v>
      </c>
      <c r="F26" s="129">
        <v>6642878.6900000004</v>
      </c>
      <c r="G26" s="129">
        <v>3409.33</v>
      </c>
      <c r="H26" s="129">
        <v>65470.52</v>
      </c>
      <c r="I26" s="129">
        <v>407617.55</v>
      </c>
    </row>
    <row r="27" spans="3:9" x14ac:dyDescent="0.3">
      <c r="C27" s="133">
        <v>45839</v>
      </c>
      <c r="D27" s="127" t="s">
        <v>141</v>
      </c>
      <c r="E27" s="128" t="s">
        <v>41</v>
      </c>
      <c r="F27" s="129">
        <v>16522919.58</v>
      </c>
      <c r="G27" s="129">
        <v>146350.9</v>
      </c>
      <c r="H27" s="129">
        <v>167073.5</v>
      </c>
      <c r="I27" s="129">
        <v>4292</v>
      </c>
    </row>
    <row r="28" spans="3:9" x14ac:dyDescent="0.3">
      <c r="C28" s="133">
        <v>45839</v>
      </c>
      <c r="D28" s="127" t="s">
        <v>141</v>
      </c>
      <c r="E28" s="128" t="s">
        <v>42</v>
      </c>
      <c r="F28" s="129">
        <v>4053690.1</v>
      </c>
      <c r="G28" s="129">
        <v>30464.93</v>
      </c>
      <c r="H28" s="129">
        <v>67225.78</v>
      </c>
      <c r="I28" s="129">
        <v>210065</v>
      </c>
    </row>
    <row r="29" spans="3:9" x14ac:dyDescent="0.3">
      <c r="C29" s="133">
        <v>45839</v>
      </c>
      <c r="D29" s="127" t="s">
        <v>141</v>
      </c>
      <c r="E29" s="128" t="s">
        <v>43</v>
      </c>
      <c r="F29" s="129">
        <v>20005520.420000002</v>
      </c>
      <c r="G29" s="129">
        <v>188212.22</v>
      </c>
      <c r="H29" s="129">
        <v>223063.28</v>
      </c>
      <c r="I29" s="129">
        <v>6860</v>
      </c>
    </row>
    <row r="30" spans="3:9" x14ac:dyDescent="0.3">
      <c r="C30" s="133">
        <v>45839</v>
      </c>
      <c r="D30" s="127" t="s">
        <v>141</v>
      </c>
      <c r="E30" s="128" t="s">
        <v>44</v>
      </c>
      <c r="F30" s="129">
        <v>22951289.809999999</v>
      </c>
      <c r="G30" s="129">
        <v>208685.61</v>
      </c>
      <c r="H30" s="129">
        <v>7435.1</v>
      </c>
      <c r="I30" s="129">
        <v>16540</v>
      </c>
    </row>
    <row r="31" spans="3:9" x14ac:dyDescent="0.3">
      <c r="C31" s="133">
        <v>45839</v>
      </c>
      <c r="D31" s="127" t="s">
        <v>141</v>
      </c>
      <c r="E31" s="128" t="s">
        <v>45</v>
      </c>
      <c r="F31" s="129">
        <v>17127476.359999999</v>
      </c>
      <c r="G31" s="129">
        <v>124955.03</v>
      </c>
      <c r="H31" s="129">
        <v>190824.85</v>
      </c>
      <c r="I31" s="129">
        <v>13718</v>
      </c>
    </row>
    <row r="32" spans="3:9" x14ac:dyDescent="0.3">
      <c r="C32" s="133">
        <v>45839</v>
      </c>
      <c r="D32" s="127" t="s">
        <v>141</v>
      </c>
      <c r="E32" s="128" t="s">
        <v>46</v>
      </c>
      <c r="F32" s="129">
        <v>26507855.93</v>
      </c>
      <c r="G32" s="129">
        <v>93468.95</v>
      </c>
      <c r="H32" s="129">
        <v>26600.69</v>
      </c>
      <c r="I32" s="129">
        <v>475842</v>
      </c>
    </row>
    <row r="33" spans="3:9" x14ac:dyDescent="0.3">
      <c r="C33" s="133">
        <v>45839</v>
      </c>
      <c r="D33" s="127" t="s">
        <v>141</v>
      </c>
      <c r="E33" s="128" t="s">
        <v>47</v>
      </c>
      <c r="F33" s="129">
        <v>6716259.54</v>
      </c>
      <c r="G33" s="129">
        <v>83542.95</v>
      </c>
      <c r="H33" s="129">
        <v>134250.79999999999</v>
      </c>
      <c r="I33" s="129">
        <v>226615</v>
      </c>
    </row>
    <row r="34" spans="3:9" x14ac:dyDescent="0.3">
      <c r="C34" s="133">
        <v>45839</v>
      </c>
      <c r="D34" s="127" t="s">
        <v>141</v>
      </c>
      <c r="E34" s="128" t="s">
        <v>48</v>
      </c>
      <c r="F34" s="129">
        <v>32052691.809999999</v>
      </c>
      <c r="G34" s="129">
        <v>186262.07</v>
      </c>
      <c r="H34" s="129">
        <v>24274.43</v>
      </c>
      <c r="I34" s="129">
        <v>1244568</v>
      </c>
    </row>
    <row r="35" spans="3:9" x14ac:dyDescent="0.3">
      <c r="C35" s="133">
        <v>45839</v>
      </c>
      <c r="D35" s="127" t="s">
        <v>141</v>
      </c>
      <c r="E35" s="128" t="s">
        <v>49</v>
      </c>
      <c r="F35" s="129">
        <v>17428018.870000001</v>
      </c>
      <c r="G35" s="129">
        <v>116216.48</v>
      </c>
      <c r="H35" s="129">
        <v>259230.85</v>
      </c>
      <c r="I35" s="129">
        <v>431095</v>
      </c>
    </row>
    <row r="36" spans="3:9" x14ac:dyDescent="0.3">
      <c r="C36" s="133">
        <v>45839</v>
      </c>
      <c r="D36" s="127" t="s">
        <v>141</v>
      </c>
      <c r="E36" s="128" t="s">
        <v>50</v>
      </c>
      <c r="F36" s="129">
        <v>1151560.95</v>
      </c>
      <c r="G36" s="129">
        <v>31147.97</v>
      </c>
      <c r="H36" s="129">
        <v>55662.48</v>
      </c>
      <c r="I36" s="129">
        <v>8988</v>
      </c>
    </row>
    <row r="37" spans="3:9" x14ac:dyDescent="0.3">
      <c r="C37" s="133">
        <v>45839</v>
      </c>
      <c r="D37" s="127" t="s">
        <v>141</v>
      </c>
      <c r="E37" s="128" t="s">
        <v>51</v>
      </c>
      <c r="F37" s="129">
        <v>3213559.51</v>
      </c>
      <c r="G37" s="129">
        <v>28816.78</v>
      </c>
      <c r="H37" s="129">
        <v>3780.6</v>
      </c>
      <c r="I37" s="129">
        <v>205547</v>
      </c>
    </row>
  </sheetData>
  <pageMargins left="0.7" right="0.7" top="0.75" bottom="0.75" header="0.3" footer="0.3"/>
  <customProperties>
    <customPr name="LastActive" r:id="rId1"/>
  </customPropertie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B8B8A1-4E61-4E39-AD5C-3B92285B1F50}">
  <dimension ref="B5:AE28"/>
  <sheetViews>
    <sheetView zoomScaleNormal="100" workbookViewId="0">
      <selection activeCell="F34" sqref="F34"/>
    </sheetView>
  </sheetViews>
  <sheetFormatPr defaultRowHeight="14.4" x14ac:dyDescent="0.3"/>
  <cols>
    <col min="3" max="3" width="25.88671875" customWidth="1"/>
    <col min="4" max="6" width="12.88671875" customWidth="1"/>
    <col min="7" max="7" width="9.109375" customWidth="1"/>
    <col min="8" max="8" width="12.5546875" customWidth="1"/>
    <col min="9" max="9" width="10.33203125" customWidth="1"/>
    <col min="10" max="10" width="11.44140625" customWidth="1"/>
    <col min="11" max="11" width="9.44140625" customWidth="1"/>
    <col min="12" max="16" width="11" customWidth="1"/>
    <col min="19" max="19" width="12" customWidth="1"/>
    <col min="20" max="20" width="14" customWidth="1"/>
    <col min="21" max="21" width="11" customWidth="1"/>
    <col min="22" max="22" width="12.33203125" hidden="1" customWidth="1"/>
    <col min="23" max="24" width="9.109375" hidden="1" customWidth="1"/>
    <col min="25" max="26" width="14.44140625" hidden="1" customWidth="1"/>
    <col min="27" max="30" width="9.109375" hidden="1" customWidth="1"/>
    <col min="31" max="39" width="0" hidden="1" customWidth="1"/>
  </cols>
  <sheetData>
    <row r="5" spans="2:30" ht="15" customHeight="1" thickBot="1" x14ac:dyDescent="0.35">
      <c r="E5" s="58"/>
      <c r="W5" s="112" t="s">
        <v>39</v>
      </c>
      <c r="X5" s="114">
        <v>45838</v>
      </c>
      <c r="Y5" s="48" t="s">
        <v>107</v>
      </c>
      <c r="Z5" s="101"/>
    </row>
    <row r="6" spans="2:30" ht="22.5" customHeight="1" x14ac:dyDescent="0.3">
      <c r="B6" s="119" t="s">
        <v>39</v>
      </c>
      <c r="C6" s="121"/>
      <c r="D6" s="116" t="s">
        <v>98</v>
      </c>
      <c r="E6" s="117"/>
      <c r="F6" s="118"/>
      <c r="G6" s="116" t="s">
        <v>99</v>
      </c>
      <c r="H6" s="117"/>
      <c r="I6" s="117"/>
      <c r="J6" s="117"/>
      <c r="K6" s="118"/>
      <c r="L6" s="116" t="s">
        <v>100</v>
      </c>
      <c r="M6" s="117"/>
      <c r="N6" s="117"/>
      <c r="O6" s="117"/>
      <c r="P6" s="118"/>
      <c r="Q6" s="116" t="s">
        <v>101</v>
      </c>
      <c r="R6" s="117"/>
      <c r="S6" s="117"/>
      <c r="T6" s="117"/>
      <c r="U6" s="118"/>
      <c r="V6" s="57"/>
      <c r="W6" s="113"/>
      <c r="X6" s="115"/>
      <c r="Y6" s="47" t="s">
        <v>108</v>
      </c>
      <c r="Z6" s="101"/>
    </row>
    <row r="7" spans="2:30" ht="30.6" x14ac:dyDescent="0.3">
      <c r="B7" s="120"/>
      <c r="C7" s="122"/>
      <c r="D7" s="30" t="s">
        <v>90</v>
      </c>
      <c r="E7" s="2" t="s">
        <v>91</v>
      </c>
      <c r="F7" s="31" t="s">
        <v>92</v>
      </c>
      <c r="G7" s="39" t="s">
        <v>83</v>
      </c>
      <c r="H7" s="1" t="s">
        <v>84</v>
      </c>
      <c r="I7" s="1" t="s">
        <v>85</v>
      </c>
      <c r="J7" s="1" t="s">
        <v>75</v>
      </c>
      <c r="K7" s="14" t="s">
        <v>76</v>
      </c>
      <c r="L7" s="39" t="s">
        <v>86</v>
      </c>
      <c r="M7" s="1" t="s">
        <v>87</v>
      </c>
      <c r="N7" s="1" t="s">
        <v>77</v>
      </c>
      <c r="O7" s="1" t="s">
        <v>78</v>
      </c>
      <c r="P7" s="14" t="s">
        <v>79</v>
      </c>
      <c r="Q7" s="39" t="s">
        <v>88</v>
      </c>
      <c r="R7" s="1" t="s">
        <v>89</v>
      </c>
      <c r="S7" s="1" t="s">
        <v>80</v>
      </c>
      <c r="T7" s="1" t="s">
        <v>81</v>
      </c>
      <c r="U7" s="14" t="s">
        <v>82</v>
      </c>
      <c r="V7" s="65"/>
      <c r="W7" s="49" t="s">
        <v>109</v>
      </c>
      <c r="X7" s="50" t="s">
        <v>110</v>
      </c>
      <c r="Y7" s="51"/>
      <c r="Z7" s="102"/>
    </row>
    <row r="8" spans="2:30" x14ac:dyDescent="0.3">
      <c r="B8" s="3"/>
      <c r="C8" s="11" t="s">
        <v>40</v>
      </c>
      <c r="D8" s="22">
        <f>G8+L8+Q8</f>
        <v>-1.2486142948784007</v>
      </c>
      <c r="E8" s="26">
        <f>H8+M8+R8</f>
        <v>-1.5727208181788133</v>
      </c>
      <c r="F8" s="18">
        <v>78.904735727342356</v>
      </c>
      <c r="G8" s="22">
        <v>-0.70574505662593823</v>
      </c>
      <c r="H8" s="22">
        <v>-0.92934928610348555</v>
      </c>
      <c r="I8" s="17">
        <f>SUM(I9:I23)</f>
        <v>-1407980.1255000001</v>
      </c>
      <c r="J8" s="17">
        <f>SUM(J9:J23)</f>
        <v>-1845363.22</v>
      </c>
      <c r="K8" s="18">
        <f>I8/J8*100</f>
        <v>76.298265308441557</v>
      </c>
      <c r="L8" s="22">
        <v>-0.37</v>
      </c>
      <c r="M8" s="22">
        <f>O8/Y8*100</f>
        <v>-0.38611225499730822</v>
      </c>
      <c r="N8" s="17">
        <f>SUM(N9:N23)</f>
        <v>-737879.14520000014</v>
      </c>
      <c r="O8" s="17">
        <f>SUM(O9:O23)</f>
        <v>-770304.20000000007</v>
      </c>
      <c r="P8" s="18">
        <f>N8/O8*100</f>
        <v>95.790616901738318</v>
      </c>
      <c r="Q8" s="22">
        <v>-0.17286923825246248</v>
      </c>
      <c r="R8" s="22">
        <v>-0.25725927707801954</v>
      </c>
      <c r="S8" s="40">
        <v>-360013</v>
      </c>
      <c r="T8" s="40">
        <f>T9+T10+T11+T12+T13+T14+T15+T16+T17+T18+T19+T20+T21+T22+T23</f>
        <v>-551073.14999999991</v>
      </c>
      <c r="U8" s="18">
        <f>S8/T8*100</f>
        <v>65.329439476410727</v>
      </c>
      <c r="V8" s="66">
        <f>J8*U2</f>
        <v>0</v>
      </c>
      <c r="W8" s="52"/>
      <c r="X8" s="53" t="s">
        <v>111</v>
      </c>
      <c r="Y8" s="54">
        <f>Y9+Y10+Y11+Y12+Y13+Y14+Y15+Y16+Y17+Y18+Y19+Y20+Y21+Y22+Y23</f>
        <v>199502655</v>
      </c>
      <c r="Z8" s="103">
        <f>Y8/100*L8</f>
        <v>-738159.82350000006</v>
      </c>
      <c r="AA8">
        <f>I8/Y8*100</f>
        <v>-0.70574505662593823</v>
      </c>
      <c r="AB8">
        <f>N8/Y8*100</f>
        <v>-0.36985931099513447</v>
      </c>
      <c r="AC8">
        <f>O8/Y8*100</f>
        <v>-0.38611225499730822</v>
      </c>
      <c r="AD8" s="17">
        <v>765131.35000000009</v>
      </c>
    </row>
    <row r="9" spans="2:30" x14ac:dyDescent="0.3">
      <c r="B9" s="4">
        <v>1</v>
      </c>
      <c r="C9" s="12" t="s">
        <v>41</v>
      </c>
      <c r="D9" s="59">
        <f>G9+L9+Q9</f>
        <v>-1.6465000000000001</v>
      </c>
      <c r="E9" s="27">
        <f>H9+M9+R9</f>
        <v>-2.1693311966131783</v>
      </c>
      <c r="F9" s="25">
        <f>D9/E9*100</f>
        <v>75.898968427253649</v>
      </c>
      <c r="G9" s="28">
        <v>-0.92</v>
      </c>
      <c r="H9" s="19">
        <v>-1.1270385139589678</v>
      </c>
      <c r="I9" s="20">
        <v>-143217.8812</v>
      </c>
      <c r="J9" s="20">
        <v>-175447.9</v>
      </c>
      <c r="K9" s="25">
        <f t="shared" ref="K9:K23" si="0">I9/J9*100</f>
        <v>81.629863452341127</v>
      </c>
      <c r="L9" s="28">
        <v>-0.46</v>
      </c>
      <c r="M9" s="19">
        <v>-0.51451661609974997</v>
      </c>
      <c r="N9" s="20">
        <f t="shared" ref="N9:N23" si="1">Y9/100*L9</f>
        <v>-71608.940600000002</v>
      </c>
      <c r="O9" s="20">
        <v>-80095.63</v>
      </c>
      <c r="P9" s="25">
        <f t="shared" ref="P9:P23" si="2">N9/O9*100</f>
        <v>89.404304080010348</v>
      </c>
      <c r="Q9" s="19">
        <v>-0.26650000000000001</v>
      </c>
      <c r="R9" s="27">
        <f t="shared" ref="R9:R23" si="3">T9/Y9*100</f>
        <v>-0.52777606655446041</v>
      </c>
      <c r="S9" s="20">
        <v>-43204.983657000004</v>
      </c>
      <c r="T9" s="20">
        <v>-82159.75</v>
      </c>
      <c r="U9" s="25">
        <f>S9/T9*100</f>
        <v>52.586556868783077</v>
      </c>
      <c r="V9" s="20">
        <f>J9*U2</f>
        <v>0</v>
      </c>
      <c r="W9" s="4">
        <v>1</v>
      </c>
      <c r="X9" s="55" t="s">
        <v>41</v>
      </c>
      <c r="Y9" s="56">
        <v>15567161</v>
      </c>
      <c r="Z9" s="104">
        <f>Y9/100*L9</f>
        <v>-71608.940600000002</v>
      </c>
      <c r="AA9">
        <f>O9*-1</f>
        <v>80095.63</v>
      </c>
      <c r="AB9">
        <f>M9*-1</f>
        <v>0.51451661609974997</v>
      </c>
    </row>
    <row r="10" spans="2:30" x14ac:dyDescent="0.3">
      <c r="B10" s="5">
        <v>2</v>
      </c>
      <c r="C10" s="13" t="s">
        <v>42</v>
      </c>
      <c r="D10" s="59">
        <f t="shared" ref="D10:D23" si="4">G10+L10+Q10</f>
        <v>-1.4799</v>
      </c>
      <c r="E10" s="27">
        <f t="shared" ref="E10:E23" si="5">H10+M10+R10</f>
        <v>-2.6630949027587736</v>
      </c>
      <c r="F10" s="25">
        <f t="shared" ref="F10:F23" si="6">D10/E10*100</f>
        <v>55.570682008625781</v>
      </c>
      <c r="G10" s="28">
        <v>-0.9</v>
      </c>
      <c r="H10" s="19">
        <v>-1.2273928569825745</v>
      </c>
      <c r="I10" s="20">
        <v>-34091.559000000001</v>
      </c>
      <c r="J10" s="20">
        <v>-46493.04</v>
      </c>
      <c r="K10" s="25">
        <f t="shared" si="0"/>
        <v>73.326155914949851</v>
      </c>
      <c r="L10" s="28">
        <v>-0.42</v>
      </c>
      <c r="M10" s="19">
        <v>-0.57155834381173365</v>
      </c>
      <c r="N10" s="20">
        <f t="shared" si="1"/>
        <v>-15909.394200000001</v>
      </c>
      <c r="O10" s="20">
        <v>-21650.350000000002</v>
      </c>
      <c r="P10" s="25">
        <f t="shared" si="2"/>
        <v>73.483311817129973</v>
      </c>
      <c r="Q10" s="19">
        <v>-0.15990000000000001</v>
      </c>
      <c r="R10" s="27">
        <f t="shared" si="3"/>
        <v>-0.86414370196446577</v>
      </c>
      <c r="S10" s="20">
        <v>-6306.9390477000006</v>
      </c>
      <c r="T10" s="20">
        <v>-32733.34</v>
      </c>
      <c r="U10" s="25">
        <f t="shared" ref="U10:U22" si="7">S10/T10*100</f>
        <v>19.267630641113925</v>
      </c>
      <c r="V10" s="20">
        <f>J10*U2</f>
        <v>0</v>
      </c>
      <c r="W10" s="5">
        <v>2</v>
      </c>
      <c r="X10" s="6" t="s">
        <v>42</v>
      </c>
      <c r="Y10" s="56">
        <v>3787951</v>
      </c>
      <c r="Z10" s="104">
        <f t="shared" ref="Z10:Z23" si="8">Y10/100*L10</f>
        <v>-15909.394200000001</v>
      </c>
      <c r="AA10">
        <f t="shared" ref="AA10:AA23" si="9">O10*-1</f>
        <v>21650.350000000002</v>
      </c>
      <c r="AB10">
        <f t="shared" ref="AB10:AB23" si="10">M10*-1</f>
        <v>0.57155834381173365</v>
      </c>
      <c r="AD10">
        <f>AD6-1*AD8</f>
        <v>-765131.35000000009</v>
      </c>
    </row>
    <row r="11" spans="2:30" x14ac:dyDescent="0.3">
      <c r="B11" s="4">
        <v>3</v>
      </c>
      <c r="C11" s="13" t="s">
        <v>43</v>
      </c>
      <c r="D11" s="59">
        <f t="shared" si="4"/>
        <v>-1.1765999999999999</v>
      </c>
      <c r="E11" s="27">
        <f t="shared" si="5"/>
        <v>-0.96831459725994895</v>
      </c>
      <c r="F11" s="25">
        <f t="shared" si="6"/>
        <v>121.51009633949943</v>
      </c>
      <c r="G11" s="28">
        <v>-0.57999999999999996</v>
      </c>
      <c r="H11" s="19">
        <v>-0.89787165753447662</v>
      </c>
      <c r="I11" s="20">
        <v>-111894.73679999998</v>
      </c>
      <c r="J11" s="20">
        <v>-173219.16</v>
      </c>
      <c r="K11" s="25">
        <f t="shared" si="0"/>
        <v>64.597205528533891</v>
      </c>
      <c r="L11" s="28">
        <v>-0.49</v>
      </c>
      <c r="M11" s="19">
        <v>-0.29705358581262598</v>
      </c>
      <c r="N11" s="20">
        <f t="shared" si="1"/>
        <v>-94531.760399999999</v>
      </c>
      <c r="O11" s="20">
        <v>-57308.160000000003</v>
      </c>
      <c r="P11" s="25">
        <f t="shared" si="2"/>
        <v>164.95340349437146</v>
      </c>
      <c r="Q11" s="19">
        <v>-0.10660000000000001</v>
      </c>
      <c r="R11" s="27">
        <f t="shared" si="3"/>
        <v>0.22661064608715359</v>
      </c>
      <c r="S11" s="20">
        <v>-21418.472865000003</v>
      </c>
      <c r="T11" s="20">
        <v>43718.17</v>
      </c>
      <c r="U11" s="25">
        <f>T11/S11*-100</f>
        <v>204.11431886649586</v>
      </c>
      <c r="V11" s="20">
        <f>J11*U2</f>
        <v>0</v>
      </c>
      <c r="W11" s="4">
        <v>3</v>
      </c>
      <c r="X11" s="6" t="s">
        <v>43</v>
      </c>
      <c r="Y11" s="56">
        <v>19292196</v>
      </c>
      <c r="Z11" s="104">
        <f t="shared" si="8"/>
        <v>-94531.760399999999</v>
      </c>
      <c r="AA11">
        <f t="shared" si="9"/>
        <v>57308.160000000003</v>
      </c>
      <c r="AB11">
        <f t="shared" si="10"/>
        <v>0.29705358581262598</v>
      </c>
      <c r="AD11">
        <v>-1</v>
      </c>
    </row>
    <row r="12" spans="2:30" x14ac:dyDescent="0.3">
      <c r="B12" s="5">
        <v>4</v>
      </c>
      <c r="C12" s="13" t="s">
        <v>44</v>
      </c>
      <c r="D12" s="59">
        <f t="shared" si="4"/>
        <v>-1.1066</v>
      </c>
      <c r="E12" s="27">
        <f t="shared" si="5"/>
        <v>-2.1065360178707202</v>
      </c>
      <c r="F12" s="25">
        <f t="shared" si="6"/>
        <v>52.53173886476187</v>
      </c>
      <c r="G12" s="28">
        <v>-0.68</v>
      </c>
      <c r="H12" s="19">
        <v>-1.1183285144911288</v>
      </c>
      <c r="I12" s="20">
        <v>-149059.73320000002</v>
      </c>
      <c r="J12" s="20">
        <v>-245143.75</v>
      </c>
      <c r="K12" s="25">
        <f t="shared" si="0"/>
        <v>60.805031007317147</v>
      </c>
      <c r="L12" s="28">
        <v>-0.32</v>
      </c>
      <c r="M12" s="19">
        <v>-0.41379264725532189</v>
      </c>
      <c r="N12" s="20">
        <f t="shared" si="1"/>
        <v>-70145.756800000003</v>
      </c>
      <c r="O12" s="20">
        <v>-90705.62</v>
      </c>
      <c r="P12" s="25">
        <f t="shared" si="2"/>
        <v>77.333418590821609</v>
      </c>
      <c r="Q12" s="19">
        <v>-0.10660000000000001</v>
      </c>
      <c r="R12" s="27">
        <f t="shared" si="3"/>
        <v>-0.57441485612426946</v>
      </c>
      <c r="S12" s="20">
        <v>-24340.398769800002</v>
      </c>
      <c r="T12" s="20">
        <v>-125914.89</v>
      </c>
      <c r="U12" s="25">
        <f t="shared" si="7"/>
        <v>19.330834319753606</v>
      </c>
      <c r="V12" s="20">
        <f>J12*U2</f>
        <v>0</v>
      </c>
      <c r="W12" s="5">
        <v>4</v>
      </c>
      <c r="X12" s="6" t="s">
        <v>44</v>
      </c>
      <c r="Y12" s="56">
        <v>21920549</v>
      </c>
      <c r="Z12" s="104">
        <f t="shared" si="8"/>
        <v>-70145.756800000003</v>
      </c>
      <c r="AA12">
        <f t="shared" si="9"/>
        <v>90705.62</v>
      </c>
      <c r="AB12">
        <f t="shared" si="10"/>
        <v>0.41379264725532189</v>
      </c>
      <c r="AD12">
        <f>AD11*O23</f>
        <v>80537.039999999994</v>
      </c>
    </row>
    <row r="13" spans="2:30" x14ac:dyDescent="0.3">
      <c r="B13" s="4">
        <v>5</v>
      </c>
      <c r="C13" s="13" t="s">
        <v>45</v>
      </c>
      <c r="D13" s="59">
        <f t="shared" si="4"/>
        <v>-1.1766000000000001</v>
      </c>
      <c r="E13" s="27">
        <f t="shared" si="5"/>
        <v>-1.0350248170648375</v>
      </c>
      <c r="F13" s="25">
        <f t="shared" si="6"/>
        <v>113.67843365694814</v>
      </c>
      <c r="G13" s="28">
        <v>-0.68</v>
      </c>
      <c r="H13" s="19">
        <v>-1.003222393370236</v>
      </c>
      <c r="I13" s="20">
        <v>-112798.27080000001</v>
      </c>
      <c r="J13" s="20">
        <v>-166414.34</v>
      </c>
      <c r="K13" s="25">
        <f t="shared" si="0"/>
        <v>67.781581082495663</v>
      </c>
      <c r="L13" s="28">
        <v>-0.39</v>
      </c>
      <c r="M13" s="19">
        <v>-0.33822603245084493</v>
      </c>
      <c r="N13" s="20">
        <f t="shared" si="1"/>
        <v>-64693.125899999999</v>
      </c>
      <c r="O13" s="20">
        <v>-56104.869999999995</v>
      </c>
      <c r="P13" s="25">
        <f t="shared" si="2"/>
        <v>115.30750521300558</v>
      </c>
      <c r="Q13" s="19">
        <v>-0.10660000000000001</v>
      </c>
      <c r="R13" s="27">
        <f t="shared" si="3"/>
        <v>0.30642360875624342</v>
      </c>
      <c r="S13" s="20">
        <v>-18416.266731900003</v>
      </c>
      <c r="T13" s="20">
        <v>50829.49</v>
      </c>
      <c r="U13" s="25">
        <f>T13/S13*-100</f>
        <v>276.00322443177345</v>
      </c>
      <c r="V13" s="20">
        <f>J13*U2</f>
        <v>0</v>
      </c>
      <c r="W13" s="4">
        <v>5</v>
      </c>
      <c r="X13" s="6" t="s">
        <v>45</v>
      </c>
      <c r="Y13" s="56">
        <v>16587981</v>
      </c>
      <c r="Z13" s="104">
        <f t="shared" si="8"/>
        <v>-64693.125899999999</v>
      </c>
      <c r="AA13">
        <f t="shared" si="9"/>
        <v>56104.869999999995</v>
      </c>
      <c r="AB13">
        <f t="shared" si="10"/>
        <v>0.33822603245084493</v>
      </c>
      <c r="AD13">
        <f>O22*AD11</f>
        <v>32816</v>
      </c>
    </row>
    <row r="14" spans="2:30" x14ac:dyDescent="0.3">
      <c r="B14" s="5">
        <v>6</v>
      </c>
      <c r="C14" s="13" t="s">
        <v>46</v>
      </c>
      <c r="D14" s="59">
        <f t="shared" si="4"/>
        <v>-0.54659999999999997</v>
      </c>
      <c r="E14" s="27">
        <f t="shared" si="5"/>
        <v>-0.44946981457309432</v>
      </c>
      <c r="F14" s="25">
        <f t="shared" si="6"/>
        <v>121.60994626950861</v>
      </c>
      <c r="G14" s="28">
        <v>-0.31</v>
      </c>
      <c r="H14" s="19">
        <v>-0.53404759612326502</v>
      </c>
      <c r="I14" s="20">
        <v>-76661.037700000001</v>
      </c>
      <c r="J14" s="20">
        <v>-132066.59</v>
      </c>
      <c r="K14" s="25">
        <f t="shared" si="0"/>
        <v>58.047260628142219</v>
      </c>
      <c r="L14" s="28">
        <v>-0.13</v>
      </c>
      <c r="M14" s="19">
        <v>-0.14769160892796002</v>
      </c>
      <c r="N14" s="20">
        <f t="shared" si="1"/>
        <v>-32148.177100000004</v>
      </c>
      <c r="O14" s="20">
        <v>-36523.199999999997</v>
      </c>
      <c r="P14" s="25">
        <f t="shared" si="2"/>
        <v>88.02124978096117</v>
      </c>
      <c r="Q14" s="19">
        <v>-0.10660000000000001</v>
      </c>
      <c r="R14" s="27">
        <f t="shared" si="3"/>
        <v>0.23226939047813069</v>
      </c>
      <c r="S14" s="20">
        <v>-27452.927070300004</v>
      </c>
      <c r="T14" s="20">
        <v>57438.75</v>
      </c>
      <c r="U14" s="25">
        <f>T14/S14*-100</f>
        <v>209.2263234915311</v>
      </c>
      <c r="V14" s="20">
        <f>J14*U2</f>
        <v>0</v>
      </c>
      <c r="W14" s="5">
        <v>6</v>
      </c>
      <c r="X14" s="6" t="s">
        <v>46</v>
      </c>
      <c r="Y14" s="56">
        <v>24729367</v>
      </c>
      <c r="Z14" s="104">
        <f t="shared" si="8"/>
        <v>-32148.177100000004</v>
      </c>
      <c r="AA14">
        <f t="shared" si="9"/>
        <v>36523.199999999997</v>
      </c>
      <c r="AB14">
        <f t="shared" si="10"/>
        <v>0.14769160892796002</v>
      </c>
    </row>
    <row r="15" spans="2:30" x14ac:dyDescent="0.3">
      <c r="B15" s="4">
        <v>7</v>
      </c>
      <c r="C15" s="13" t="s">
        <v>47</v>
      </c>
      <c r="D15" s="59">
        <f t="shared" si="4"/>
        <v>-2.5198</v>
      </c>
      <c r="E15" s="27">
        <f t="shared" si="5"/>
        <v>-4.2889246650175421</v>
      </c>
      <c r="F15" s="25">
        <f t="shared" si="6"/>
        <v>58.751323392379838</v>
      </c>
      <c r="G15" s="28">
        <v>-0.97</v>
      </c>
      <c r="H15" s="19">
        <v>-1.2692869600173764</v>
      </c>
      <c r="I15" s="20">
        <v>-65246.050900000002</v>
      </c>
      <c r="J15" s="20">
        <v>-85377.279999999999</v>
      </c>
      <c r="K15" s="25">
        <f t="shared" si="0"/>
        <v>76.420859155972181</v>
      </c>
      <c r="L15" s="28">
        <v>-1.23</v>
      </c>
      <c r="M15" s="19">
        <v>-1.5363919197751783</v>
      </c>
      <c r="N15" s="20">
        <f t="shared" si="1"/>
        <v>-82734.683099999995</v>
      </c>
      <c r="O15" s="20">
        <v>-103343.82</v>
      </c>
      <c r="P15" s="25">
        <f t="shared" si="2"/>
        <v>80.057697789766223</v>
      </c>
      <c r="Q15" s="19">
        <v>-0.31980000000000003</v>
      </c>
      <c r="R15" s="27">
        <f t="shared" si="3"/>
        <v>-1.4832457852249874</v>
      </c>
      <c r="S15" s="20">
        <v>-22402.403072100002</v>
      </c>
      <c r="T15" s="20">
        <v>-99769</v>
      </c>
      <c r="U15" s="25">
        <f t="shared" si="7"/>
        <v>22.454272441439727</v>
      </c>
      <c r="V15" s="20">
        <f>J15*U2</f>
        <v>0</v>
      </c>
      <c r="W15" s="4">
        <v>7</v>
      </c>
      <c r="X15" s="6" t="s">
        <v>47</v>
      </c>
      <c r="Y15" s="56">
        <v>6726397</v>
      </c>
      <c r="Z15" s="104">
        <f t="shared" si="8"/>
        <v>-82734.683099999995</v>
      </c>
      <c r="AA15">
        <f t="shared" si="9"/>
        <v>103343.82</v>
      </c>
      <c r="AB15">
        <f t="shared" si="10"/>
        <v>1.5363919197751783</v>
      </c>
    </row>
    <row r="16" spans="2:30" x14ac:dyDescent="0.3">
      <c r="B16" s="5">
        <v>8</v>
      </c>
      <c r="C16" s="13" t="s">
        <v>48</v>
      </c>
      <c r="D16" s="59">
        <f t="shared" si="4"/>
        <v>-0.73320000000000007</v>
      </c>
      <c r="E16" s="27">
        <f t="shared" si="5"/>
        <v>-1.3885363019706598</v>
      </c>
      <c r="F16" s="25">
        <f t="shared" si="6"/>
        <v>52.803804910207731</v>
      </c>
      <c r="G16" s="28">
        <v>-0.42</v>
      </c>
      <c r="H16" s="19">
        <v>-0.77752097735214765</v>
      </c>
      <c r="I16" s="20">
        <v>-126962.92559999999</v>
      </c>
      <c r="J16" s="20">
        <v>-235038.9</v>
      </c>
      <c r="K16" s="25">
        <f t="shared" si="0"/>
        <v>54.017835175368845</v>
      </c>
      <c r="L16" s="28">
        <v>-0.1</v>
      </c>
      <c r="M16" s="19">
        <v>-5.9411263282987861E-2</v>
      </c>
      <c r="N16" s="20">
        <f t="shared" si="1"/>
        <v>-30229.268</v>
      </c>
      <c r="O16" s="20">
        <v>-17959.59</v>
      </c>
      <c r="P16" s="25">
        <f t="shared" si="2"/>
        <v>168.31825225408821</v>
      </c>
      <c r="Q16" s="19">
        <v>-0.21320000000000003</v>
      </c>
      <c r="R16" s="27">
        <f t="shared" si="3"/>
        <v>-0.5516040613355242</v>
      </c>
      <c r="S16" s="20">
        <v>-65688.699030999982</v>
      </c>
      <c r="T16" s="20">
        <v>-166745.87</v>
      </c>
      <c r="U16" s="25">
        <f t="shared" si="7"/>
        <v>39.394498365086932</v>
      </c>
      <c r="V16" s="20">
        <f>J16*U2</f>
        <v>0</v>
      </c>
      <c r="W16" s="5">
        <v>8</v>
      </c>
      <c r="X16" s="6" t="s">
        <v>48</v>
      </c>
      <c r="Y16" s="56">
        <v>30229268</v>
      </c>
      <c r="Z16" s="104">
        <f t="shared" si="8"/>
        <v>-30229.268</v>
      </c>
      <c r="AA16">
        <f t="shared" si="9"/>
        <v>17959.59</v>
      </c>
      <c r="AB16">
        <f t="shared" si="10"/>
        <v>5.9411263282987861E-2</v>
      </c>
    </row>
    <row r="17" spans="2:31" x14ac:dyDescent="0.3">
      <c r="B17" s="4">
        <v>9</v>
      </c>
      <c r="C17" s="13" t="s">
        <v>49</v>
      </c>
      <c r="D17" s="59">
        <f t="shared" si="4"/>
        <v>-1.2965</v>
      </c>
      <c r="E17" s="27">
        <f t="shared" si="5"/>
        <v>-1.5304787557041248</v>
      </c>
      <c r="F17" s="25">
        <f t="shared" si="6"/>
        <v>84.712054654004092</v>
      </c>
      <c r="G17" s="28">
        <v>-0.75</v>
      </c>
      <c r="H17" s="19">
        <v>-0.87853234892711329</v>
      </c>
      <c r="I17" s="20">
        <v>-124745.25</v>
      </c>
      <c r="J17" s="20">
        <v>-146123.65</v>
      </c>
      <c r="K17" s="25">
        <f t="shared" si="0"/>
        <v>85.369650977100562</v>
      </c>
      <c r="L17" s="28">
        <v>-0.28000000000000003</v>
      </c>
      <c r="M17" s="19">
        <v>-0.21378759912702086</v>
      </c>
      <c r="N17" s="20">
        <f t="shared" si="1"/>
        <v>-46571.560000000005</v>
      </c>
      <c r="O17" s="20">
        <v>-35558.65</v>
      </c>
      <c r="P17" s="25">
        <f t="shared" si="2"/>
        <v>130.97111392024163</v>
      </c>
      <c r="Q17" s="19">
        <v>-0.26650000000000001</v>
      </c>
      <c r="R17" s="27">
        <f t="shared" si="3"/>
        <v>-0.43815880764999066</v>
      </c>
      <c r="S17" s="20">
        <v>-46180.385304750002</v>
      </c>
      <c r="T17" s="20">
        <v>-72877.64</v>
      </c>
      <c r="U17" s="25">
        <f t="shared" si="7"/>
        <v>63.367015321503281</v>
      </c>
      <c r="V17" s="20">
        <f>J17*U2</f>
        <v>0</v>
      </c>
      <c r="W17" s="4">
        <v>9</v>
      </c>
      <c r="X17" s="6" t="s">
        <v>49</v>
      </c>
      <c r="Y17" s="56">
        <v>16632700</v>
      </c>
      <c r="Z17" s="104">
        <f t="shared" si="8"/>
        <v>-46571.560000000005</v>
      </c>
      <c r="AA17">
        <f t="shared" si="9"/>
        <v>35558.65</v>
      </c>
      <c r="AB17">
        <f t="shared" si="10"/>
        <v>0.21378759912702086</v>
      </c>
    </row>
    <row r="18" spans="2:31" x14ac:dyDescent="0.3">
      <c r="B18" s="5">
        <v>10</v>
      </c>
      <c r="C18" s="13" t="s">
        <v>50</v>
      </c>
      <c r="D18" s="59">
        <f t="shared" si="4"/>
        <v>-2.5199000000000003</v>
      </c>
      <c r="E18" s="27">
        <f t="shared" si="5"/>
        <v>-1.0461295592947015</v>
      </c>
      <c r="F18" s="25">
        <v>570.45000000000005</v>
      </c>
      <c r="G18" s="28">
        <v>-0.81</v>
      </c>
      <c r="H18" s="19">
        <v>-1.266516157779711</v>
      </c>
      <c r="I18" s="20">
        <v>-9543.6225000000013</v>
      </c>
      <c r="J18" s="20">
        <v>-14922.41</v>
      </c>
      <c r="K18" s="25">
        <f t="shared" si="0"/>
        <v>63.954967729743395</v>
      </c>
      <c r="L18" s="28">
        <v>-1.55</v>
      </c>
      <c r="M18" s="19">
        <v>-1.3507420059835771</v>
      </c>
      <c r="N18" s="20">
        <f t="shared" si="1"/>
        <v>-18262.487499999999</v>
      </c>
      <c r="O18" s="20">
        <v>-15914.78</v>
      </c>
      <c r="P18" s="25">
        <f t="shared" si="2"/>
        <v>114.75174334800731</v>
      </c>
      <c r="Q18" s="19">
        <v>-0.15990000000000001</v>
      </c>
      <c r="R18" s="27">
        <f t="shared" si="3"/>
        <v>1.5711286044685864</v>
      </c>
      <c r="S18" s="20">
        <v>-1961.7448414499997</v>
      </c>
      <c r="T18" s="20">
        <v>18511.43</v>
      </c>
      <c r="U18" s="25">
        <f>T18/S18*-100</f>
        <v>943.62067934979268</v>
      </c>
      <c r="V18" s="20">
        <f>J18*U2</f>
        <v>0</v>
      </c>
      <c r="W18" s="5">
        <v>10</v>
      </c>
      <c r="X18" s="6" t="s">
        <v>50</v>
      </c>
      <c r="Y18" s="56">
        <v>1178225</v>
      </c>
      <c r="Z18" s="104">
        <f t="shared" si="8"/>
        <v>-18262.487499999999</v>
      </c>
      <c r="AA18">
        <f t="shared" si="9"/>
        <v>15914.78</v>
      </c>
      <c r="AB18">
        <f t="shared" si="10"/>
        <v>1.3507420059835771</v>
      </c>
    </row>
    <row r="19" spans="2:31" x14ac:dyDescent="0.3">
      <c r="B19" s="4">
        <v>11</v>
      </c>
      <c r="C19" s="13" t="s">
        <v>51</v>
      </c>
      <c r="D19" s="59">
        <f t="shared" si="4"/>
        <v>-2.2298</v>
      </c>
      <c r="E19" s="27">
        <f t="shared" si="5"/>
        <v>-4.2013506697582077</v>
      </c>
      <c r="F19" s="25">
        <f t="shared" si="6"/>
        <v>53.073408417210921</v>
      </c>
      <c r="G19" s="28">
        <v>-0.69</v>
      </c>
      <c r="H19" s="19">
        <v>-1.4138271083225002</v>
      </c>
      <c r="I19" s="20">
        <v>-22271.350799999997</v>
      </c>
      <c r="J19" s="20">
        <v>-45634.55</v>
      </c>
      <c r="K19" s="25">
        <f t="shared" si="0"/>
        <v>48.803704210954194</v>
      </c>
      <c r="L19" s="28">
        <v>-1.22</v>
      </c>
      <c r="M19" s="19">
        <v>-2.4091343395300475</v>
      </c>
      <c r="N19" s="20">
        <f t="shared" si="1"/>
        <v>-39378.330399999999</v>
      </c>
      <c r="O19" s="20">
        <v>-77760.399999999994</v>
      </c>
      <c r="P19" s="25">
        <f t="shared" si="2"/>
        <v>50.640596498989211</v>
      </c>
      <c r="Q19" s="19">
        <v>-0.31980000000000003</v>
      </c>
      <c r="R19" s="27">
        <f t="shared" si="3"/>
        <v>-0.3783892219056601</v>
      </c>
      <c r="S19" s="20">
        <v>-10748.347426800001</v>
      </c>
      <c r="T19" s="20">
        <v>-12213.390000000001</v>
      </c>
      <c r="U19" s="25">
        <f t="shared" si="7"/>
        <v>88.004619739482649</v>
      </c>
      <c r="V19" s="20">
        <f>J19*U2</f>
        <v>0</v>
      </c>
      <c r="W19" s="4">
        <v>11</v>
      </c>
      <c r="X19" s="6" t="s">
        <v>51</v>
      </c>
      <c r="Y19" s="56">
        <v>3227732</v>
      </c>
      <c r="Z19" s="104">
        <f t="shared" si="8"/>
        <v>-39378.330399999999</v>
      </c>
      <c r="AA19">
        <f t="shared" si="9"/>
        <v>77760.399999999994</v>
      </c>
      <c r="AB19">
        <f t="shared" si="10"/>
        <v>2.4091343395300475</v>
      </c>
      <c r="AC19">
        <v>0.37</v>
      </c>
      <c r="AD19">
        <v>-1</v>
      </c>
      <c r="AE19">
        <f>AD19*AC19</f>
        <v>-0.37</v>
      </c>
    </row>
    <row r="20" spans="2:31" x14ac:dyDescent="0.3">
      <c r="B20" s="5">
        <v>12</v>
      </c>
      <c r="C20" s="13" t="s">
        <v>52</v>
      </c>
      <c r="D20" s="59">
        <f t="shared" si="4"/>
        <v>-1.6398999999999999</v>
      </c>
      <c r="E20" s="27">
        <f t="shared" si="5"/>
        <v>-1.8298911446514741</v>
      </c>
      <c r="F20" s="32">
        <f t="shared" si="6"/>
        <v>89.617352638336286</v>
      </c>
      <c r="G20" s="28">
        <v>-1.28</v>
      </c>
      <c r="H20" s="19">
        <v>-1.1692520007463345</v>
      </c>
      <c r="I20" s="20">
        <v>-286413.12</v>
      </c>
      <c r="J20" s="23">
        <v>-261632.12</v>
      </c>
      <c r="K20" s="32">
        <f t="shared" si="0"/>
        <v>109.47169636510992</v>
      </c>
      <c r="L20" s="28">
        <v>-0.2</v>
      </c>
      <c r="M20" s="19">
        <v>-0.16963973717405123</v>
      </c>
      <c r="N20" s="20">
        <f t="shared" si="1"/>
        <v>-44752.05</v>
      </c>
      <c r="O20" s="23">
        <v>-37958.629999999997</v>
      </c>
      <c r="P20" s="32">
        <f t="shared" si="2"/>
        <v>117.89690513066463</v>
      </c>
      <c r="Q20" s="19">
        <v>-0.15990000000000001</v>
      </c>
      <c r="R20" s="27">
        <f t="shared" si="3"/>
        <v>-0.49099940673108827</v>
      </c>
      <c r="S20" s="20">
        <v>-33347.308311000001</v>
      </c>
      <c r="T20" s="20">
        <v>-109866.15</v>
      </c>
      <c r="U20" s="25">
        <f t="shared" si="7"/>
        <v>30.352668507087945</v>
      </c>
      <c r="V20" s="23">
        <f>J20*U2</f>
        <v>0</v>
      </c>
      <c r="W20" s="5">
        <v>11</v>
      </c>
      <c r="X20" s="6" t="s">
        <v>52</v>
      </c>
      <c r="Y20" s="56">
        <v>22376025</v>
      </c>
      <c r="Z20" s="104">
        <f t="shared" si="8"/>
        <v>-44752.05</v>
      </c>
      <c r="AA20">
        <f t="shared" si="9"/>
        <v>37958.629999999997</v>
      </c>
      <c r="AB20">
        <f t="shared" si="10"/>
        <v>0.16963973717405123</v>
      </c>
    </row>
    <row r="21" spans="2:31" x14ac:dyDescent="0.3">
      <c r="B21" s="4">
        <v>13</v>
      </c>
      <c r="C21" s="13" t="s">
        <v>53</v>
      </c>
      <c r="D21" s="59">
        <f t="shared" si="4"/>
        <v>-2.2865999999999995</v>
      </c>
      <c r="E21" s="27">
        <f t="shared" si="5"/>
        <v>-1.9435862802293333</v>
      </c>
      <c r="F21" s="25">
        <f t="shared" si="6"/>
        <v>117.64849460298683</v>
      </c>
      <c r="G21" s="28">
        <v>-1.1499999999999999</v>
      </c>
      <c r="H21" s="19">
        <v>-0.48612255934831483</v>
      </c>
      <c r="I21" s="20">
        <v>-26410.543499999996</v>
      </c>
      <c r="J21" s="23">
        <v>-2450.86</v>
      </c>
      <c r="K21" s="32">
        <f t="shared" si="0"/>
        <v>1077.6031066645992</v>
      </c>
      <c r="L21" s="28">
        <v>-1.03</v>
      </c>
      <c r="M21" s="19">
        <v>-1.1350610410573339</v>
      </c>
      <c r="N21" s="20">
        <f t="shared" si="1"/>
        <v>-23654.6607</v>
      </c>
      <c r="O21" s="23">
        <v>-26067.46</v>
      </c>
      <c r="P21" s="25">
        <f t="shared" si="2"/>
        <v>90.744018404554964</v>
      </c>
      <c r="Q21" s="19">
        <v>-0.10660000000000001</v>
      </c>
      <c r="R21" s="27">
        <f t="shared" si="3"/>
        <v>-0.32240267982368481</v>
      </c>
      <c r="S21" s="20">
        <v>-2271.4837758000003</v>
      </c>
      <c r="T21" s="20">
        <v>-7404.2</v>
      </c>
      <c r="U21" s="25">
        <f t="shared" si="7"/>
        <v>30.678314683557982</v>
      </c>
      <c r="V21" s="23">
        <f>J21*U2</f>
        <v>0</v>
      </c>
      <c r="W21" s="5">
        <v>12</v>
      </c>
      <c r="X21" s="6" t="s">
        <v>53</v>
      </c>
      <c r="Y21" s="56">
        <v>2296569</v>
      </c>
      <c r="Z21" s="104">
        <f t="shared" si="8"/>
        <v>-23654.6607</v>
      </c>
      <c r="AA21">
        <f t="shared" si="9"/>
        <v>26067.46</v>
      </c>
      <c r="AB21">
        <f t="shared" si="10"/>
        <v>1.1350610410573339</v>
      </c>
    </row>
    <row r="22" spans="2:31" x14ac:dyDescent="0.3">
      <c r="B22" s="5">
        <v>14</v>
      </c>
      <c r="C22" s="13" t="s">
        <v>54</v>
      </c>
      <c r="D22" s="59">
        <f t="shared" si="4"/>
        <v>-2.0497999999999998</v>
      </c>
      <c r="E22" s="27">
        <f t="shared" si="5"/>
        <v>-2.8698892077475104</v>
      </c>
      <c r="F22" s="32">
        <f t="shared" si="6"/>
        <v>71.424360022902277</v>
      </c>
      <c r="G22" s="28">
        <v>-1.34</v>
      </c>
      <c r="H22" s="19">
        <v>-1.3289989830943054</v>
      </c>
      <c r="I22" s="20">
        <v>-115498.41900000001</v>
      </c>
      <c r="J22" s="23">
        <v>-114550.21</v>
      </c>
      <c r="K22" s="32">
        <f t="shared" si="0"/>
        <v>100.82776714246093</v>
      </c>
      <c r="L22" s="28">
        <v>-0.39</v>
      </c>
      <c r="M22" s="19">
        <v>-1.0515391937962371</v>
      </c>
      <c r="N22" s="20">
        <f t="shared" si="1"/>
        <v>-33615.211500000005</v>
      </c>
      <c r="O22" s="23">
        <v>-32816</v>
      </c>
      <c r="P22" s="25">
        <f t="shared" si="2"/>
        <v>102.43543241101902</v>
      </c>
      <c r="Q22" s="19">
        <v>-0.31980000000000003</v>
      </c>
      <c r="R22" s="27">
        <f t="shared" si="3"/>
        <v>-0.48935103085696768</v>
      </c>
      <c r="S22" s="20">
        <v>-29244.906552600009</v>
      </c>
      <c r="T22" s="20">
        <v>-42178.55999999999</v>
      </c>
      <c r="U22" s="25">
        <f t="shared" si="7"/>
        <v>69.335953035381053</v>
      </c>
      <c r="V22" s="23">
        <f>J22*U2</f>
        <v>0</v>
      </c>
      <c r="W22" s="5">
        <v>14</v>
      </c>
      <c r="X22" s="6" t="s">
        <v>54</v>
      </c>
      <c r="Y22" s="56">
        <v>8619285</v>
      </c>
      <c r="Z22" s="104">
        <f t="shared" si="8"/>
        <v>-33615.211500000005</v>
      </c>
      <c r="AA22">
        <f t="shared" si="9"/>
        <v>32816</v>
      </c>
      <c r="AB22">
        <f t="shared" si="10"/>
        <v>1.0515391937962371</v>
      </c>
    </row>
    <row r="23" spans="2:31" ht="15" thickBot="1" x14ac:dyDescent="0.35">
      <c r="B23" s="4">
        <v>15</v>
      </c>
      <c r="C23" s="13" t="s">
        <v>55</v>
      </c>
      <c r="D23" s="59">
        <f t="shared" si="4"/>
        <v>-1.2566000000000002</v>
      </c>
      <c r="E23" s="27">
        <f t="shared" si="5"/>
        <v>-0.80455373023553489</v>
      </c>
      <c r="F23" s="33">
        <f t="shared" si="6"/>
        <v>156.18596406633125</v>
      </c>
      <c r="G23" s="29">
        <v>-0.05</v>
      </c>
      <c r="H23" s="37">
        <v>-1.3401147230191073E-2</v>
      </c>
      <c r="I23" s="21">
        <v>-3165.6244999999999</v>
      </c>
      <c r="J23" s="24">
        <v>-848.46</v>
      </c>
      <c r="K23" s="34">
        <f t="shared" si="0"/>
        <v>373.1023854984324</v>
      </c>
      <c r="L23" s="29">
        <v>-1.1000000000000001</v>
      </c>
      <c r="M23" s="37">
        <v>-1.2696016220496145</v>
      </c>
      <c r="N23" s="20">
        <f t="shared" si="1"/>
        <v>-69643.739000000001</v>
      </c>
      <c r="O23" s="24">
        <v>-80537.039999999994</v>
      </c>
      <c r="P23" s="33">
        <f t="shared" si="2"/>
        <v>86.474172629140583</v>
      </c>
      <c r="Q23" s="37">
        <v>-0.10660000000000001</v>
      </c>
      <c r="R23" s="27">
        <f t="shared" si="3"/>
        <v>0.47844903904427072</v>
      </c>
      <c r="S23" s="21">
        <v>-7027.7335428000015</v>
      </c>
      <c r="T23" s="21">
        <v>30291.8</v>
      </c>
      <c r="U23" s="25">
        <f>T23/S23*-100</f>
        <v>431.03227826607508</v>
      </c>
      <c r="V23" s="24">
        <f>J23*U2</f>
        <v>0</v>
      </c>
      <c r="W23" s="5">
        <v>15</v>
      </c>
      <c r="X23" s="6" t="s">
        <v>55</v>
      </c>
      <c r="Y23" s="56">
        <v>6331249</v>
      </c>
      <c r="Z23" s="104">
        <f t="shared" si="8"/>
        <v>-69643.739000000001</v>
      </c>
      <c r="AA23">
        <f t="shared" si="9"/>
        <v>80537.039999999994</v>
      </c>
      <c r="AB23">
        <f t="shared" si="10"/>
        <v>1.2696016220496145</v>
      </c>
    </row>
    <row r="25" spans="2:31" x14ac:dyDescent="0.3">
      <c r="O25" s="100"/>
    </row>
    <row r="26" spans="2:31" x14ac:dyDescent="0.3">
      <c r="O26" s="42"/>
    </row>
    <row r="28" spans="2:31" x14ac:dyDescent="0.3">
      <c r="Y28">
        <f>Y8/100*G8</f>
        <v>-1407980.1255000003</v>
      </c>
    </row>
  </sheetData>
  <mergeCells count="8">
    <mergeCell ref="W5:W6"/>
    <mergeCell ref="X5:X6"/>
    <mergeCell ref="Q6:U6"/>
    <mergeCell ref="B6:B7"/>
    <mergeCell ref="C6:C7"/>
    <mergeCell ref="D6:F6"/>
    <mergeCell ref="G6:K6"/>
    <mergeCell ref="L6:P6"/>
  </mergeCells>
  <conditionalFormatting sqref="F9:F23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9:K23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9:P23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U9:U23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customProperties>
    <customPr name="LastActive" r:id="rId1"/>
  </customPropertie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CFE31A-522D-490E-A213-035CC45C727E}">
  <dimension ref="A2:AF23"/>
  <sheetViews>
    <sheetView zoomScaleNormal="100" workbookViewId="0">
      <selection activeCell="D16" sqref="D16"/>
    </sheetView>
  </sheetViews>
  <sheetFormatPr defaultColWidth="8.88671875" defaultRowHeight="14.4" x14ac:dyDescent="0.3"/>
  <cols>
    <col min="2" max="2" width="31" bestFit="1" customWidth="1"/>
    <col min="3" max="20" width="11.6640625" customWidth="1"/>
    <col min="21" max="22" width="11.6640625" hidden="1" customWidth="1"/>
    <col min="23" max="23" width="16.6640625" hidden="1" customWidth="1"/>
    <col min="24" max="26" width="8.88671875" hidden="1" customWidth="1"/>
    <col min="27" max="27" width="12.33203125" hidden="1" customWidth="1"/>
    <col min="28" max="28" width="9.5546875" hidden="1" customWidth="1"/>
    <col min="29" max="31" width="8.88671875" hidden="1" customWidth="1"/>
    <col min="32" max="32" width="16.109375" hidden="1" customWidth="1"/>
    <col min="33" max="37" width="0" hidden="1" customWidth="1"/>
  </cols>
  <sheetData>
    <row r="2" spans="1:20" ht="15" thickBot="1" x14ac:dyDescent="0.35"/>
    <row r="3" spans="1:20" x14ac:dyDescent="0.3">
      <c r="A3" s="123" t="s">
        <v>39</v>
      </c>
      <c r="B3" s="125"/>
      <c r="C3" s="116" t="s">
        <v>98</v>
      </c>
      <c r="D3" s="117"/>
      <c r="E3" s="118"/>
      <c r="F3" s="116" t="s">
        <v>99</v>
      </c>
      <c r="G3" s="117"/>
      <c r="H3" s="117"/>
      <c r="I3" s="117"/>
      <c r="J3" s="118"/>
      <c r="K3" s="116" t="s">
        <v>100</v>
      </c>
      <c r="L3" s="117"/>
      <c r="M3" s="117"/>
      <c r="N3" s="117"/>
      <c r="O3" s="118"/>
      <c r="P3" s="116" t="s">
        <v>101</v>
      </c>
      <c r="Q3" s="117"/>
      <c r="R3" s="117"/>
      <c r="S3" s="117"/>
      <c r="T3" s="118"/>
    </row>
    <row r="4" spans="1:20" ht="20.399999999999999" x14ac:dyDescent="0.3">
      <c r="A4" s="124"/>
      <c r="B4" s="126"/>
      <c r="C4" s="30" t="s">
        <v>90</v>
      </c>
      <c r="D4" s="2" t="s">
        <v>91</v>
      </c>
      <c r="E4" s="31" t="s">
        <v>92</v>
      </c>
      <c r="F4" s="39" t="s">
        <v>83</v>
      </c>
      <c r="G4" s="1" t="s">
        <v>84</v>
      </c>
      <c r="H4" s="1" t="s">
        <v>85</v>
      </c>
      <c r="I4" s="1" t="s">
        <v>75</v>
      </c>
      <c r="J4" s="14" t="s">
        <v>76</v>
      </c>
      <c r="K4" s="39" t="s">
        <v>86</v>
      </c>
      <c r="L4" s="1" t="s">
        <v>87</v>
      </c>
      <c r="M4" s="1" t="s">
        <v>77</v>
      </c>
      <c r="N4" s="1" t="s">
        <v>78</v>
      </c>
      <c r="O4" s="14" t="s">
        <v>79</v>
      </c>
      <c r="P4" s="39" t="s">
        <v>88</v>
      </c>
      <c r="Q4" s="1" t="s">
        <v>89</v>
      </c>
      <c r="R4" s="1" t="s">
        <v>80</v>
      </c>
      <c r="S4" s="1" t="s">
        <v>81</v>
      </c>
      <c r="T4" s="14" t="s">
        <v>82</v>
      </c>
    </row>
    <row r="5" spans="1:20" x14ac:dyDescent="0.3">
      <c r="A5" s="35" t="s">
        <v>40</v>
      </c>
      <c r="B5" s="36"/>
      <c r="C5" s="41">
        <f t="shared" ref="C5:C23" si="0">F5+K5+P5</f>
        <v>-1.240951205312889</v>
      </c>
      <c r="D5" s="26">
        <f t="shared" ref="D5:D23" si="1">G5+L5+Q5</f>
        <v>-1.5727208181788133</v>
      </c>
      <c r="E5" s="18">
        <f>C5/D5*100</f>
        <v>78.904735727342356</v>
      </c>
      <c r="F5" s="22">
        <v>-0.70574505662593823</v>
      </c>
      <c r="G5" s="26">
        <v>-0.92934928610348555</v>
      </c>
      <c r="H5" s="17">
        <v>-1407980.1255000001</v>
      </c>
      <c r="I5" s="17">
        <f>SUM(I6:I23)</f>
        <v>-1845363</v>
      </c>
      <c r="J5" s="18">
        <f t="shared" ref="J5:J19" si="2">H5/I5*100</f>
        <v>76.298274404548053</v>
      </c>
      <c r="K5" s="22">
        <v>-0.37</v>
      </c>
      <c r="L5" s="26">
        <v>-0.38611225499730822</v>
      </c>
      <c r="M5" s="17">
        <f>SUM(M6:M23)</f>
        <v>-737879</v>
      </c>
      <c r="N5" s="17">
        <f>SUM(N6:N23)</f>
        <v>-770303.61</v>
      </c>
      <c r="O5" s="18">
        <f>M5/N5*100</f>
        <v>95.790671421103696</v>
      </c>
      <c r="P5" s="22">
        <v>-0.16520614868695099</v>
      </c>
      <c r="Q5" s="22">
        <v>-0.25725927707801954</v>
      </c>
      <c r="R5" s="40">
        <v>-360013</v>
      </c>
      <c r="S5" s="40">
        <f>S6+S7+S8+S9+S10+S11+S12+S13+S14+S15+S16+S17+S18+S19+S20+S21+S22+S23</f>
        <v>-551072.76</v>
      </c>
      <c r="T5" s="18">
        <f>R5/S5*100</f>
        <v>65.329485710743526</v>
      </c>
    </row>
    <row r="6" spans="1:20" x14ac:dyDescent="0.3">
      <c r="A6" s="92">
        <v>1</v>
      </c>
      <c r="B6" s="15" t="s">
        <v>58</v>
      </c>
      <c r="C6" s="19">
        <f t="shared" si="0"/>
        <v>-1.65305725154266</v>
      </c>
      <c r="D6" s="27">
        <f t="shared" si="1"/>
        <v>-1.5914565719749676</v>
      </c>
      <c r="E6" s="25">
        <f>C6/D6*100</f>
        <v>103.87071068431652</v>
      </c>
      <c r="F6" s="19">
        <v>-0.21059999999999998</v>
      </c>
      <c r="G6" s="27">
        <v>-0.18</v>
      </c>
      <c r="H6" s="20">
        <v>-46882.330939860425</v>
      </c>
      <c r="I6" s="20">
        <v>-18891.61</v>
      </c>
      <c r="J6" s="25">
        <f t="shared" si="2"/>
        <v>248.16482523120277</v>
      </c>
      <c r="K6" s="19">
        <v>-1.49870725154266</v>
      </c>
      <c r="L6" s="27">
        <v>-1.4269132557117516</v>
      </c>
      <c r="M6" s="20">
        <v>-333130.80508213362</v>
      </c>
      <c r="N6" s="20">
        <v>-320796.2</v>
      </c>
      <c r="O6" s="25">
        <f>M6/N6*100</f>
        <v>103.84499725437321</v>
      </c>
      <c r="P6" s="19">
        <v>5.6250000000000001E-2</v>
      </c>
      <c r="Q6" s="27">
        <v>1.5456683736784013E-2</v>
      </c>
      <c r="R6" s="20">
        <v>-12503.644267499998</v>
      </c>
      <c r="S6" s="20">
        <v>3435.8199999999979</v>
      </c>
      <c r="T6" s="25">
        <f>R6/S6*-100</f>
        <v>363.92023643555268</v>
      </c>
    </row>
    <row r="7" spans="1:20" x14ac:dyDescent="0.3">
      <c r="A7" s="92">
        <v>2</v>
      </c>
      <c r="B7" s="15" t="s">
        <v>59</v>
      </c>
      <c r="C7" s="19">
        <f t="shared" si="0"/>
        <v>-0.34792164541415671</v>
      </c>
      <c r="D7" s="27">
        <f t="shared" si="1"/>
        <v>-0.54658017700720141</v>
      </c>
      <c r="E7" s="25">
        <f>C7/D7*100</f>
        <v>63.654274349867748</v>
      </c>
      <c r="F7" s="19">
        <v>-1.17E-2</v>
      </c>
      <c r="G7" s="27">
        <v>-0.01</v>
      </c>
      <c r="H7" s="20">
        <v>-3682.8848300400005</v>
      </c>
      <c r="I7" s="20">
        <v>-6653.78</v>
      </c>
      <c r="J7" s="25">
        <f t="shared" si="2"/>
        <v>55.350264511901514</v>
      </c>
      <c r="K7" s="19">
        <v>-2.2164541415666073E-4</v>
      </c>
      <c r="L7" s="27">
        <v>-1.3703596861988174E-2</v>
      </c>
      <c r="M7" s="20">
        <v>-69.768763542350342</v>
      </c>
      <c r="N7">
        <v>0</v>
      </c>
      <c r="O7" s="25">
        <v>700</v>
      </c>
      <c r="P7" s="19">
        <v>-0.33600000000000002</v>
      </c>
      <c r="Q7" s="27">
        <v>-0.52287658014521321</v>
      </c>
      <c r="R7" s="20">
        <v>-105764.89768320002</v>
      </c>
      <c r="S7" s="20">
        <v>-164589.25</v>
      </c>
      <c r="T7" s="25">
        <f>R7/S7*100</f>
        <v>64.259906210885603</v>
      </c>
    </row>
    <row r="8" spans="1:20" x14ac:dyDescent="0.3">
      <c r="A8" s="92">
        <v>3</v>
      </c>
      <c r="B8" s="15" t="s">
        <v>69</v>
      </c>
      <c r="C8" s="19">
        <f t="shared" si="0"/>
        <v>-4.951372124778286E-2</v>
      </c>
      <c r="D8" s="27">
        <f t="shared" si="1"/>
        <v>5.5650623779368538E-2</v>
      </c>
      <c r="E8" s="25">
        <f>C8/D8*-100</f>
        <v>88.972446102462513</v>
      </c>
      <c r="F8" s="19">
        <v>-3.5099999999999999E-2</v>
      </c>
      <c r="G8" s="27">
        <v>-0.03</v>
      </c>
      <c r="H8" s="20">
        <v>-5142.0014146799995</v>
      </c>
      <c r="I8" s="20">
        <v>-2461.54</v>
      </c>
      <c r="J8" s="25">
        <f t="shared" si="2"/>
        <v>208.89367691282689</v>
      </c>
      <c r="K8" s="19">
        <v>-3.1637212477828563E-3</v>
      </c>
      <c r="L8" s="27">
        <v>-5.4780845213002506E-3</v>
      </c>
      <c r="M8" s="20">
        <v>-463.47177013540227</v>
      </c>
      <c r="N8" s="20">
        <v>0.01</v>
      </c>
      <c r="O8" s="25">
        <v>463</v>
      </c>
      <c r="P8" s="19">
        <v>-1.125E-2</v>
      </c>
      <c r="Q8" s="27">
        <v>9.1128708300668784E-2</v>
      </c>
      <c r="R8" s="20">
        <v>-1648.0773764999997</v>
      </c>
      <c r="S8" s="20">
        <v>13349.97</v>
      </c>
      <c r="T8" s="25">
        <f>S8/R8*100*-1</f>
        <v>810.03296267261169</v>
      </c>
    </row>
    <row r="9" spans="1:20" x14ac:dyDescent="0.3">
      <c r="A9" s="92">
        <v>4</v>
      </c>
      <c r="B9" s="15" t="s">
        <v>67</v>
      </c>
      <c r="C9" s="19">
        <f t="shared" si="0"/>
        <v>-0.33232298222096929</v>
      </c>
      <c r="D9" s="27">
        <f t="shared" si="1"/>
        <v>-0.5881870658279168</v>
      </c>
      <c r="E9" s="25">
        <f>C9/D9*100</f>
        <v>56.499539267018747</v>
      </c>
      <c r="F9" s="19">
        <v>-8.1900000000000001E-2</v>
      </c>
      <c r="G9" s="27">
        <v>-7.0000000000000007E-2</v>
      </c>
      <c r="H9" s="20">
        <v>-11910.746508570001</v>
      </c>
      <c r="I9" s="20">
        <v>-13861.12</v>
      </c>
      <c r="J9" s="25">
        <f t="shared" si="2"/>
        <v>85.929178223476882</v>
      </c>
      <c r="K9" s="19">
        <v>-0.21667298222096928</v>
      </c>
      <c r="L9" s="27">
        <v>-0.22644468196475859</v>
      </c>
      <c r="M9" s="20">
        <v>-31510.829871671056</v>
      </c>
      <c r="N9" s="20">
        <v>-20508.289999999997</v>
      </c>
      <c r="O9" s="25">
        <f>M9/N9*100</f>
        <v>153.64923097767323</v>
      </c>
      <c r="P9" s="19">
        <v>-3.3750000000000002E-2</v>
      </c>
      <c r="Q9" s="27">
        <v>-0.29174238386315821</v>
      </c>
      <c r="R9" s="20">
        <v>-4908.2746601250001</v>
      </c>
      <c r="S9" s="20">
        <v>-42428.2</v>
      </c>
      <c r="T9" s="25">
        <f>R9/S9*100</f>
        <v>11.568425387183526</v>
      </c>
    </row>
    <row r="10" spans="1:20" x14ac:dyDescent="0.3">
      <c r="A10" s="92">
        <v>5</v>
      </c>
      <c r="B10" s="15" t="s">
        <v>71</v>
      </c>
      <c r="C10" s="19">
        <f t="shared" si="0"/>
        <v>-0.25344577326440426</v>
      </c>
      <c r="D10" s="27">
        <f t="shared" si="1"/>
        <v>-0.52404285646536064</v>
      </c>
      <c r="E10" s="25">
        <f>C10/D10*100</f>
        <v>48.363558464260272</v>
      </c>
      <c r="F10" s="19">
        <v>-0.12869999999999998</v>
      </c>
      <c r="G10" s="27">
        <v>-0.11</v>
      </c>
      <c r="H10" s="20">
        <v>-11493.956897279997</v>
      </c>
      <c r="I10" s="20">
        <v>-7376.08</v>
      </c>
      <c r="J10" s="25">
        <f t="shared" si="2"/>
        <v>155.8274435374887</v>
      </c>
      <c r="K10" s="19">
        <v>-6.8495773264404258E-2</v>
      </c>
      <c r="L10" s="27">
        <v>-0.14413463184567807</v>
      </c>
      <c r="M10" s="20">
        <v>-6117.2297245293421</v>
      </c>
      <c r="N10" s="20">
        <v>-3855.54</v>
      </c>
      <c r="O10" s="25">
        <f>M10/N10*100</f>
        <v>158.66077707738324</v>
      </c>
      <c r="P10" s="19">
        <v>-5.6250000000000001E-2</v>
      </c>
      <c r="Q10" s="27">
        <v>-0.26990822461968256</v>
      </c>
      <c r="R10" s="20">
        <v>-5023.5825599999998</v>
      </c>
      <c r="S10" s="20">
        <v>-24105</v>
      </c>
      <c r="T10" s="25">
        <f>R10/S10*100</f>
        <v>20.840417174859986</v>
      </c>
    </row>
    <row r="11" spans="1:20" x14ac:dyDescent="0.3">
      <c r="A11" s="92">
        <v>6</v>
      </c>
      <c r="B11" s="15" t="s">
        <v>63</v>
      </c>
      <c r="C11" s="19">
        <f t="shared" si="0"/>
        <v>-9.112303971694119E-2</v>
      </c>
      <c r="D11" s="27">
        <f t="shared" si="1"/>
        <v>-0.25508385755537566</v>
      </c>
      <c r="E11" s="25">
        <f>C11/D11*100</f>
        <v>35.722777830878407</v>
      </c>
      <c r="F11" s="19">
        <v>-3.5099999999999999E-2</v>
      </c>
      <c r="G11" s="27">
        <v>-0.03</v>
      </c>
      <c r="H11" s="20">
        <v>-1314.1128698100001</v>
      </c>
      <c r="I11" s="20">
        <v>-698.39</v>
      </c>
      <c r="J11" s="25">
        <f t="shared" si="2"/>
        <v>188.16318529904495</v>
      </c>
      <c r="K11" s="19">
        <v>-2.2273039716941181E-2</v>
      </c>
      <c r="L11" s="27">
        <v>0</v>
      </c>
      <c r="M11" s="20">
        <v>-833.88285304335295</v>
      </c>
      <c r="N11" s="20">
        <v>0</v>
      </c>
      <c r="O11" s="25">
        <v>834</v>
      </c>
      <c r="P11" s="19">
        <v>-3.3750000000000002E-2</v>
      </c>
      <c r="Q11" s="27">
        <v>-0.22508385755537569</v>
      </c>
      <c r="R11" s="20">
        <v>-1263.5700671250002</v>
      </c>
      <c r="S11" s="20">
        <v>-8426.94</v>
      </c>
      <c r="T11" s="25">
        <f>R11/S11*100</f>
        <v>14.994411579114129</v>
      </c>
    </row>
    <row r="12" spans="1:20" x14ac:dyDescent="0.3">
      <c r="A12" s="92">
        <v>7</v>
      </c>
      <c r="B12" s="15" t="s">
        <v>68</v>
      </c>
      <c r="C12" s="19">
        <f t="shared" si="0"/>
        <v>-1.3291655784767631</v>
      </c>
      <c r="D12" s="27">
        <f t="shared" si="1"/>
        <v>-0.97863535949334157</v>
      </c>
      <c r="E12" s="25">
        <f>C12/D12*-100</f>
        <v>-135.81826628100765</v>
      </c>
      <c r="F12" s="19">
        <v>-0.79559999999999997</v>
      </c>
      <c r="G12" s="27">
        <v>-0.68</v>
      </c>
      <c r="H12" s="20">
        <v>-114100.81885799998</v>
      </c>
      <c r="I12" s="20">
        <v>-123157.97</v>
      </c>
      <c r="J12" s="25">
        <f t="shared" si="2"/>
        <v>92.645907413056577</v>
      </c>
      <c r="K12" s="19">
        <v>-0.55606557847676297</v>
      </c>
      <c r="L12" s="27">
        <v>-0.38568585612791145</v>
      </c>
      <c r="M12" s="20">
        <v>-79748.036504457152</v>
      </c>
      <c r="N12" s="20">
        <v>-43199.920000000006</v>
      </c>
      <c r="O12" s="25">
        <f t="shared" ref="O12:O19" si="3">M12/N12*100</f>
        <v>184.60227820898081</v>
      </c>
      <c r="P12" s="19">
        <v>2.2499999999999999E-2</v>
      </c>
      <c r="Q12" s="27">
        <v>8.7050496634569902E-2</v>
      </c>
      <c r="R12" s="20">
        <v>3226.8331124999995</v>
      </c>
      <c r="S12" s="20">
        <v>12484.329999999998</v>
      </c>
      <c r="T12" s="25">
        <f>S12/R12*100</f>
        <v>386.89109615364401</v>
      </c>
    </row>
    <row r="13" spans="1:20" x14ac:dyDescent="0.3">
      <c r="A13" s="92">
        <v>8</v>
      </c>
      <c r="B13" s="15" t="s">
        <v>66</v>
      </c>
      <c r="C13" s="19">
        <f t="shared" si="0"/>
        <v>-0.90903674877013052</v>
      </c>
      <c r="D13" s="27">
        <f t="shared" si="1"/>
        <v>-1.810906229294718</v>
      </c>
      <c r="E13" s="25">
        <f>C13/D13*-100</f>
        <v>-50.197891755232803</v>
      </c>
      <c r="F13" s="19">
        <v>-0.66689999999999994</v>
      </c>
      <c r="G13" s="27">
        <v>-0.56999999999999995</v>
      </c>
      <c r="H13" s="20">
        <v>-29311.842488759878</v>
      </c>
      <c r="I13" s="20">
        <v>-77056.089999999953</v>
      </c>
      <c r="J13" s="25">
        <f t="shared" si="2"/>
        <v>38.039618268666239</v>
      </c>
      <c r="K13" s="19">
        <v>-1.7136748770130588E-2</v>
      </c>
      <c r="L13" s="27">
        <v>0</v>
      </c>
      <c r="M13" s="20">
        <v>-753.20090076400868</v>
      </c>
      <c r="N13" s="20">
        <v>-2111</v>
      </c>
      <c r="O13" s="25">
        <f t="shared" si="3"/>
        <v>35.679815289626184</v>
      </c>
      <c r="P13" s="19">
        <v>-0.22500000000000001</v>
      </c>
      <c r="Q13" s="27">
        <v>-1.2409062292947179</v>
      </c>
      <c r="R13" s="20">
        <v>-9925.8299775000014</v>
      </c>
      <c r="S13" s="20">
        <v>-54742.33</v>
      </c>
      <c r="T13" s="25">
        <f>R13/S13*100</f>
        <v>18.131909945192323</v>
      </c>
    </row>
    <row r="14" spans="1:20" x14ac:dyDescent="0.3">
      <c r="A14" s="92">
        <v>9</v>
      </c>
      <c r="B14" s="15" t="s">
        <v>61</v>
      </c>
      <c r="C14" s="19">
        <f t="shared" si="0"/>
        <v>-1.5441172053118017</v>
      </c>
      <c r="D14" s="27">
        <f t="shared" si="1"/>
        <v>-4.5710281423835726</v>
      </c>
      <c r="E14" s="25">
        <f>C14/D14*100</f>
        <v>33.780522832366955</v>
      </c>
      <c r="F14" s="19">
        <v>-0.78390000000000004</v>
      </c>
      <c r="G14" s="27">
        <v>-0.67</v>
      </c>
      <c r="H14" s="20">
        <v>-99548.948998980006</v>
      </c>
      <c r="I14" s="20">
        <v>-33836.06</v>
      </c>
      <c r="J14" s="25">
        <f t="shared" si="2"/>
        <v>294.20963610709998</v>
      </c>
      <c r="K14" s="19">
        <v>-0.74896720531180183</v>
      </c>
      <c r="L14" s="27">
        <v>-3.9556516270178066</v>
      </c>
      <c r="M14" s="20">
        <v>-95112.767092094829</v>
      </c>
      <c r="N14" s="20">
        <v>-174821.52</v>
      </c>
      <c r="O14" s="25">
        <f t="shared" si="3"/>
        <v>54.405640159229165</v>
      </c>
      <c r="P14" s="19">
        <v>-1.125E-2</v>
      </c>
      <c r="Q14" s="27">
        <v>5.4623484634234734E-2</v>
      </c>
      <c r="R14" s="20">
        <v>-1428.6588547499998</v>
      </c>
      <c r="S14" s="20">
        <v>6936.7400000000016</v>
      </c>
      <c r="T14" s="25">
        <f>S14/R14*100*-1</f>
        <v>485.54208563764217</v>
      </c>
    </row>
    <row r="15" spans="1:20" x14ac:dyDescent="0.3">
      <c r="A15" s="92">
        <v>10</v>
      </c>
      <c r="B15" s="15" t="s">
        <v>74</v>
      </c>
      <c r="C15" s="19">
        <f t="shared" si="0"/>
        <v>-0.82476785887571458</v>
      </c>
      <c r="D15" s="27">
        <f t="shared" si="1"/>
        <v>-1.2177628707548454</v>
      </c>
      <c r="E15" s="25">
        <f>C15/D15*100</f>
        <v>67.728116752687001</v>
      </c>
      <c r="F15" s="19">
        <v>-0.24569999999999997</v>
      </c>
      <c r="G15" s="27">
        <v>-0.21</v>
      </c>
      <c r="H15" s="20">
        <v>-13293.1574685</v>
      </c>
      <c r="I15" s="20">
        <v>-26605.24</v>
      </c>
      <c r="J15" s="25">
        <f t="shared" si="2"/>
        <v>49.964433579625663</v>
      </c>
      <c r="K15" s="19">
        <v>-1.6567858875714547E-2</v>
      </c>
      <c r="L15" s="27">
        <v>-4.2391423546517884E-3</v>
      </c>
      <c r="M15" s="20">
        <v>-896.37426516385369</v>
      </c>
      <c r="N15" s="20">
        <v>-616.5</v>
      </c>
      <c r="O15" s="25">
        <f t="shared" si="3"/>
        <v>145.39728550914091</v>
      </c>
      <c r="P15" s="19">
        <v>-0.5625</v>
      </c>
      <c r="Q15" s="27">
        <v>-1.0035237284001937</v>
      </c>
      <c r="R15" s="20">
        <v>-30433.052812500002</v>
      </c>
      <c r="S15" s="20">
        <v>-54293.85</v>
      </c>
      <c r="T15" s="25">
        <f>R15/S15*100</f>
        <v>56.052486262256231</v>
      </c>
    </row>
    <row r="16" spans="1:20" x14ac:dyDescent="0.3">
      <c r="A16" s="92">
        <v>11</v>
      </c>
      <c r="B16" s="15" t="s">
        <v>65</v>
      </c>
      <c r="C16" s="19">
        <f t="shared" si="0"/>
        <v>-4.8449243020461159</v>
      </c>
      <c r="D16" s="27">
        <f t="shared" si="1"/>
        <v>-4.4564426242295445</v>
      </c>
      <c r="E16" s="25">
        <f>C16/D16*100</f>
        <v>108.71730459861433</v>
      </c>
      <c r="F16" s="19">
        <v>-3.9194999999999998</v>
      </c>
      <c r="G16" s="27">
        <v>-3.35</v>
      </c>
      <c r="H16" s="20">
        <v>-795934.29091410001</v>
      </c>
      <c r="I16" s="20">
        <v>-1278187.92</v>
      </c>
      <c r="J16" s="25">
        <f t="shared" si="2"/>
        <v>62.270522077387504</v>
      </c>
      <c r="K16" s="19">
        <v>-0.25042430204611654</v>
      </c>
      <c r="L16" s="27">
        <v>-0.45170754860350715</v>
      </c>
      <c r="M16" s="20">
        <v>-50853.754120865975</v>
      </c>
      <c r="N16" s="20">
        <v>-31479.93</v>
      </c>
      <c r="O16" s="25">
        <f t="shared" si="3"/>
        <v>161.54341550589842</v>
      </c>
      <c r="P16" s="19">
        <v>-0.67499999999999993</v>
      </c>
      <c r="Q16" s="27">
        <v>-0.65473507562603772</v>
      </c>
      <c r="R16" s="20">
        <v>-137072.49556499999</v>
      </c>
      <c r="S16" s="20">
        <v>-132957.29</v>
      </c>
      <c r="T16" s="25">
        <f>R16/S16*100</f>
        <v>103.09513345601431</v>
      </c>
    </row>
    <row r="17" spans="1:20" x14ac:dyDescent="0.3">
      <c r="A17" s="92">
        <v>12</v>
      </c>
      <c r="B17" s="15" t="s">
        <v>64</v>
      </c>
      <c r="C17" s="19">
        <f t="shared" si="0"/>
        <v>-1.6177104684614427</v>
      </c>
      <c r="D17" s="27">
        <f t="shared" si="1"/>
        <v>-1.7929124549248598</v>
      </c>
      <c r="E17" s="25">
        <f>C17/D17*100</f>
        <v>90.228079124434458</v>
      </c>
      <c r="F17" s="19">
        <v>-0.70199999999999996</v>
      </c>
      <c r="G17" s="27">
        <v>-0.6</v>
      </c>
      <c r="H17" s="20">
        <v>-85142.963575799993</v>
      </c>
      <c r="I17" s="20">
        <v>-78933.08</v>
      </c>
      <c r="J17" s="25">
        <f t="shared" si="2"/>
        <v>107.86727640147831</v>
      </c>
      <c r="K17" s="19">
        <v>-0.35321046846144277</v>
      </c>
      <c r="L17" s="27">
        <v>-0.39857977657276578</v>
      </c>
      <c r="M17" s="20">
        <v>-42839.581268951391</v>
      </c>
      <c r="N17" s="20">
        <v>-50797.88</v>
      </c>
      <c r="O17" s="25">
        <f t="shared" si="3"/>
        <v>84.333403813213053</v>
      </c>
      <c r="P17" s="19">
        <v>-0.5625</v>
      </c>
      <c r="Q17" s="27">
        <v>-0.79433267835209409</v>
      </c>
      <c r="R17" s="20">
        <v>-68223.528506250004</v>
      </c>
      <c r="S17" s="20">
        <v>-96341.650000000009</v>
      </c>
      <c r="T17" s="25">
        <f>R17/S17*100</f>
        <v>70.814158265142851</v>
      </c>
    </row>
    <row r="18" spans="1:20" x14ac:dyDescent="0.3">
      <c r="A18" s="92">
        <v>13</v>
      </c>
      <c r="B18" s="15" t="s">
        <v>60</v>
      </c>
      <c r="C18" s="19">
        <f t="shared" si="0"/>
        <v>-2.0026727226420782</v>
      </c>
      <c r="D18" s="27">
        <f t="shared" si="1"/>
        <v>-2.0837878703652279</v>
      </c>
      <c r="E18" s="25">
        <f>C18/D18*100</f>
        <v>96.107322205070105</v>
      </c>
      <c r="F18" s="19">
        <v>-1.2636000000000001</v>
      </c>
      <c r="G18" s="27">
        <v>-1.08</v>
      </c>
      <c r="H18" s="20">
        <v>-121507.17452640001</v>
      </c>
      <c r="I18" s="20">
        <v>-81635.930000000008</v>
      </c>
      <c r="J18" s="25">
        <f t="shared" si="2"/>
        <v>148.84031397253634</v>
      </c>
      <c r="K18" s="19">
        <v>-0.76157272264207787</v>
      </c>
      <c r="L18" s="27">
        <v>-1.1373665265990089</v>
      </c>
      <c r="M18" s="20">
        <v>-73232.470500646232</v>
      </c>
      <c r="N18" s="20">
        <v>-102926.44</v>
      </c>
      <c r="O18" s="25">
        <f t="shared" si="3"/>
        <v>71.150299670955519</v>
      </c>
      <c r="P18" s="19">
        <v>2.2499999999999999E-2</v>
      </c>
      <c r="Q18" s="27">
        <v>0.13357865623378085</v>
      </c>
      <c r="R18" s="20">
        <v>2163.5892899999999</v>
      </c>
      <c r="S18" s="20">
        <v>12844.86</v>
      </c>
      <c r="T18" s="25">
        <f>S18/R18*100</f>
        <v>593.68291659458168</v>
      </c>
    </row>
    <row r="19" spans="1:20" x14ac:dyDescent="0.3">
      <c r="A19" s="92">
        <v>14</v>
      </c>
      <c r="B19" s="15" t="s">
        <v>112</v>
      </c>
      <c r="C19" s="19">
        <f t="shared" si="0"/>
        <v>-0.22245904501603295</v>
      </c>
      <c r="D19" s="27">
        <f t="shared" si="1"/>
        <v>-0.22888555089087875</v>
      </c>
      <c r="E19" s="25">
        <f>C19/D19*-100</f>
        <v>-97.192262311957975</v>
      </c>
      <c r="F19" s="19">
        <v>-7.0199999999999999E-2</v>
      </c>
      <c r="G19" s="27">
        <v>-0.06</v>
      </c>
      <c r="H19" s="20">
        <v>-2418.38949456</v>
      </c>
      <c r="I19" s="20">
        <v>-6415.76</v>
      </c>
      <c r="J19" s="25">
        <f t="shared" si="2"/>
        <v>37.69451311395688</v>
      </c>
      <c r="K19" s="19">
        <v>-9.600904501603294E-2</v>
      </c>
      <c r="L19" s="27">
        <v>-1.2402789594046205E-2</v>
      </c>
      <c r="M19" s="20">
        <v>-3307.5109095372109</v>
      </c>
      <c r="N19" s="20">
        <v>-915.17</v>
      </c>
      <c r="O19" s="25">
        <f t="shared" si="3"/>
        <v>361.40945502335205</v>
      </c>
      <c r="P19" s="19">
        <v>-5.6250000000000001E-2</v>
      </c>
      <c r="Q19" s="27">
        <v>-0.15648276129683256</v>
      </c>
      <c r="R19" s="20">
        <v>-1937.812095</v>
      </c>
      <c r="S19" s="20">
        <v>-5390.83</v>
      </c>
      <c r="T19" s="25">
        <f>R19/S19*100</f>
        <v>35.946451566827371</v>
      </c>
    </row>
    <row r="20" spans="1:20" x14ac:dyDescent="0.3">
      <c r="A20" s="92">
        <v>15</v>
      </c>
      <c r="B20" s="15" t="s">
        <v>70</v>
      </c>
      <c r="C20" s="19">
        <f t="shared" si="0"/>
        <v>-1.1263692729602941E-2</v>
      </c>
      <c r="D20" s="27">
        <f t="shared" si="1"/>
        <v>-1.8479217225556292E-3</v>
      </c>
      <c r="E20" s="25">
        <f>C20/D20*100</f>
        <v>609.53300089061872</v>
      </c>
      <c r="F20" s="19">
        <v>0</v>
      </c>
      <c r="G20" s="27">
        <v>0</v>
      </c>
      <c r="H20" s="20">
        <v>0</v>
      </c>
      <c r="I20" s="20">
        <v>0</v>
      </c>
      <c r="J20" s="25">
        <v>100</v>
      </c>
      <c r="K20" s="19">
        <v>-1.3692729602940813E-5</v>
      </c>
      <c r="L20" s="27">
        <v>0</v>
      </c>
      <c r="M20" s="20">
        <v>-1.243364369458188</v>
      </c>
      <c r="N20" s="20">
        <v>0.01</v>
      </c>
      <c r="O20" s="25">
        <v>100</v>
      </c>
      <c r="P20" s="19">
        <v>-1.125E-2</v>
      </c>
      <c r="Q20" s="27">
        <v>-1.8479217225556292E-3</v>
      </c>
      <c r="R20" s="20">
        <v>-1021.553011125</v>
      </c>
      <c r="S20" s="20">
        <v>-167.8</v>
      </c>
      <c r="T20" s="25">
        <f>R20/S20*100</f>
        <v>608.79202093265792</v>
      </c>
    </row>
    <row r="21" spans="1:20" x14ac:dyDescent="0.3">
      <c r="A21" s="92">
        <v>16</v>
      </c>
      <c r="B21" s="15" t="s">
        <v>113</v>
      </c>
      <c r="C21" s="19">
        <f t="shared" si="0"/>
        <v>-0.64124045547821051</v>
      </c>
      <c r="D21" s="27">
        <f t="shared" si="1"/>
        <v>-1.0522080201134862</v>
      </c>
      <c r="E21" s="25">
        <f>C21/D21*-100</f>
        <v>-60.942365313756994</v>
      </c>
      <c r="F21" s="19">
        <v>-0.35099999999999998</v>
      </c>
      <c r="G21" s="27">
        <v>-0.3</v>
      </c>
      <c r="H21" s="20">
        <v>-22481.186820299998</v>
      </c>
      <c r="I21" s="20">
        <v>-52931.869999999995</v>
      </c>
      <c r="J21" s="25">
        <f>H21/I21*100</f>
        <v>42.471930087299015</v>
      </c>
      <c r="K21" s="19">
        <v>-0.17774045547821055</v>
      </c>
      <c r="L21" s="27">
        <v>-0.3899398727465529</v>
      </c>
      <c r="M21" s="20">
        <v>-11384.092265330102</v>
      </c>
      <c r="N21" s="20">
        <v>-11454.01</v>
      </c>
      <c r="O21" s="25">
        <f>M21/N21*100</f>
        <v>99.389578543497876</v>
      </c>
      <c r="P21" s="19">
        <v>-0.1125</v>
      </c>
      <c r="Q21" s="27">
        <v>-0.36226814736693341</v>
      </c>
      <c r="R21" s="20">
        <v>-7205.5085962499998</v>
      </c>
      <c r="S21" s="20">
        <v>-23202.9</v>
      </c>
      <c r="T21" s="25">
        <f>R21/S21*100</f>
        <v>31.054344914859776</v>
      </c>
    </row>
    <row r="22" spans="1:20" x14ac:dyDescent="0.3">
      <c r="A22" s="92">
        <v>17</v>
      </c>
      <c r="B22" s="15" t="s">
        <v>114</v>
      </c>
      <c r="C22" s="19">
        <f t="shared" si="0"/>
        <v>-9.8659514097685197E-2</v>
      </c>
      <c r="D22" s="27">
        <f t="shared" si="1"/>
        <v>0.1102708117777651</v>
      </c>
      <c r="E22" s="25">
        <f>D22/C22*-100</f>
        <v>111.76906027388628</v>
      </c>
      <c r="F22" s="19">
        <v>-2.3400000000000001E-2</v>
      </c>
      <c r="G22" s="27">
        <v>-0.02</v>
      </c>
      <c r="H22" s="20">
        <v>-709.14072996000004</v>
      </c>
      <c r="I22" s="20">
        <v>-895.03</v>
      </c>
      <c r="J22" s="25">
        <f>H22/I22*100</f>
        <v>79.230945326972289</v>
      </c>
      <c r="K22" s="19">
        <v>-1.9009514097685198E-2</v>
      </c>
      <c r="L22" s="27">
        <v>-2.3556460287334182E-2</v>
      </c>
      <c r="M22" s="20">
        <v>-576.08635484689717</v>
      </c>
      <c r="N22" s="20">
        <v>-1274.48</v>
      </c>
      <c r="O22" s="25">
        <f>M22/N22*100</f>
        <v>45.201678711858733</v>
      </c>
      <c r="P22" s="19">
        <v>-5.6250000000000001E-2</v>
      </c>
      <c r="Q22" s="27">
        <v>0.15382727206509927</v>
      </c>
      <c r="R22" s="20">
        <v>-1704.66521625</v>
      </c>
      <c r="S22" s="20">
        <v>4661.76</v>
      </c>
      <c r="T22" s="25">
        <f>S22/R22*100*-1</f>
        <v>273.47070589350977</v>
      </c>
    </row>
    <row r="23" spans="1:20" ht="15" thickBot="1" x14ac:dyDescent="0.35">
      <c r="A23" s="93">
        <v>18</v>
      </c>
      <c r="B23" s="16" t="s">
        <v>62</v>
      </c>
      <c r="C23" s="37">
        <f t="shared" si="0"/>
        <v>-1.6448051158095569</v>
      </c>
      <c r="D23" s="38">
        <f t="shared" si="1"/>
        <v>-1.4357010571560838</v>
      </c>
      <c r="E23" s="33">
        <f>C23/D23*-100</f>
        <v>-114.56459599379818</v>
      </c>
      <c r="F23" s="37">
        <v>-1.4039999999999999</v>
      </c>
      <c r="G23" s="38">
        <v>-1.2</v>
      </c>
      <c r="H23" s="21">
        <v>-43106.1781644</v>
      </c>
      <c r="I23" s="21">
        <v>-35765.53</v>
      </c>
      <c r="J23" s="25">
        <f>F23/G23*100</f>
        <v>117</v>
      </c>
      <c r="K23" s="37">
        <v>-0.22955511580955693</v>
      </c>
      <c r="L23" s="38">
        <v>-0.29627611417091498</v>
      </c>
      <c r="M23" s="21">
        <v>-7047.8943879175467</v>
      </c>
      <c r="N23" s="21">
        <v>-5546.75</v>
      </c>
      <c r="O23" s="25">
        <f>M23/N23*100</f>
        <v>127.06349462149092</v>
      </c>
      <c r="P23" s="37">
        <v>-1.125E-2</v>
      </c>
      <c r="Q23" s="38">
        <v>6.0575057014831166E-2</v>
      </c>
      <c r="R23" s="21">
        <v>-345.40206862499997</v>
      </c>
      <c r="S23" s="21">
        <v>1859.8000000000002</v>
      </c>
      <c r="T23" s="33">
        <f>S23/R23*100*-1</f>
        <v>538.44495124294372</v>
      </c>
    </row>
  </sheetData>
  <mergeCells count="6">
    <mergeCell ref="P3:T3"/>
    <mergeCell ref="A3:A4"/>
    <mergeCell ref="B3:B4"/>
    <mergeCell ref="C3:E3"/>
    <mergeCell ref="F3:J3"/>
    <mergeCell ref="K3:O3"/>
  </mergeCells>
  <conditionalFormatting sqref="E6:E23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6:J23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6:O23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6:T2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8670DB-487C-4CC1-911B-4770BF061E84}">
  <dimension ref="E2:I21"/>
  <sheetViews>
    <sheetView workbookViewId="0">
      <selection activeCell="F27" sqref="F27"/>
    </sheetView>
  </sheetViews>
  <sheetFormatPr defaultRowHeight="14.4" x14ac:dyDescent="0.3"/>
  <cols>
    <col min="5" max="5" width="43" customWidth="1"/>
  </cols>
  <sheetData>
    <row r="2" spans="5:9" x14ac:dyDescent="0.3">
      <c r="F2" s="43" t="s">
        <v>104</v>
      </c>
      <c r="G2" s="43" t="s">
        <v>105</v>
      </c>
      <c r="H2" s="43"/>
      <c r="I2" t="s">
        <v>106</v>
      </c>
    </row>
    <row r="3" spans="5:9" x14ac:dyDescent="0.3">
      <c r="E3" s="12" t="s">
        <v>41</v>
      </c>
      <c r="F3" s="44">
        <v>114066</v>
      </c>
      <c r="G3" s="44">
        <v>148256</v>
      </c>
      <c r="H3" s="44">
        <f>G3-F3</f>
        <v>34190</v>
      </c>
      <c r="I3" s="46">
        <v>39355.660000000003</v>
      </c>
    </row>
    <row r="4" spans="5:9" x14ac:dyDescent="0.3">
      <c r="E4" s="13" t="s">
        <v>42</v>
      </c>
      <c r="F4" s="44">
        <v>29825</v>
      </c>
      <c r="G4" s="44">
        <v>41616</v>
      </c>
      <c r="H4" s="44">
        <f t="shared" ref="H4:H18" si="0">G4-F4</f>
        <v>11791</v>
      </c>
      <c r="I4" s="46">
        <v>13740.05</v>
      </c>
    </row>
    <row r="5" spans="5:9" x14ac:dyDescent="0.3">
      <c r="E5" s="13" t="s">
        <v>43</v>
      </c>
      <c r="F5" s="44">
        <v>121784</v>
      </c>
      <c r="G5" s="44">
        <v>121784</v>
      </c>
      <c r="H5" s="44">
        <f t="shared" si="0"/>
        <v>0</v>
      </c>
    </row>
    <row r="6" spans="5:9" x14ac:dyDescent="0.3">
      <c r="E6" s="13" t="s">
        <v>44</v>
      </c>
      <c r="F6" s="44">
        <v>159435</v>
      </c>
      <c r="G6" s="44">
        <v>211590</v>
      </c>
      <c r="H6" s="44">
        <f t="shared" si="0"/>
        <v>52155</v>
      </c>
      <c r="I6" s="46">
        <v>60459.99</v>
      </c>
    </row>
    <row r="7" spans="5:9" x14ac:dyDescent="0.3">
      <c r="E7" s="13" t="s">
        <v>45</v>
      </c>
      <c r="F7" s="44">
        <v>135638</v>
      </c>
      <c r="G7" s="44">
        <v>140703</v>
      </c>
      <c r="H7" s="44">
        <f t="shared" si="0"/>
        <v>5065</v>
      </c>
    </row>
    <row r="8" spans="5:9" x14ac:dyDescent="0.3">
      <c r="E8" s="13" t="s">
        <v>46</v>
      </c>
      <c r="F8" s="44">
        <v>103233</v>
      </c>
      <c r="G8" s="44">
        <v>122517</v>
      </c>
      <c r="H8" s="44">
        <f t="shared" si="0"/>
        <v>19284</v>
      </c>
      <c r="I8" s="46">
        <v>11813.8</v>
      </c>
    </row>
    <row r="9" spans="5:9" x14ac:dyDescent="0.3">
      <c r="E9" s="13" t="s">
        <v>47</v>
      </c>
      <c r="F9" s="44">
        <v>62482</v>
      </c>
      <c r="G9" s="44">
        <v>86241</v>
      </c>
      <c r="H9" s="44">
        <f t="shared" si="0"/>
        <v>23759</v>
      </c>
    </row>
    <row r="10" spans="5:9" x14ac:dyDescent="0.3">
      <c r="E10" s="13" t="s">
        <v>48</v>
      </c>
      <c r="F10" s="44">
        <v>153877</v>
      </c>
      <c r="G10" s="44">
        <v>213146</v>
      </c>
      <c r="H10" s="44">
        <f t="shared" si="0"/>
        <v>59269</v>
      </c>
    </row>
    <row r="11" spans="5:9" x14ac:dyDescent="0.3">
      <c r="E11" s="13" t="s">
        <v>49</v>
      </c>
      <c r="F11" s="44">
        <v>87496</v>
      </c>
      <c r="G11" s="44">
        <v>128365</v>
      </c>
      <c r="H11" s="44">
        <f t="shared" si="0"/>
        <v>40869</v>
      </c>
    </row>
    <row r="12" spans="5:9" x14ac:dyDescent="0.3">
      <c r="E12" s="13" t="s">
        <v>50</v>
      </c>
      <c r="F12" s="44">
        <v>8865</v>
      </c>
      <c r="G12" s="44">
        <v>8865</v>
      </c>
      <c r="H12" s="44">
        <f t="shared" si="0"/>
        <v>0</v>
      </c>
    </row>
    <row r="13" spans="5:9" x14ac:dyDescent="0.3">
      <c r="E13" s="13" t="s">
        <v>51</v>
      </c>
      <c r="F13" s="44">
        <v>24520</v>
      </c>
      <c r="G13" s="44">
        <v>35000</v>
      </c>
      <c r="H13" s="44">
        <f t="shared" si="0"/>
        <v>10480</v>
      </c>
    </row>
    <row r="14" spans="5:9" x14ac:dyDescent="0.3">
      <c r="E14" s="13" t="s">
        <v>52</v>
      </c>
      <c r="F14" s="44">
        <v>181839</v>
      </c>
      <c r="G14" s="44">
        <v>236625</v>
      </c>
      <c r="H14" s="44">
        <f t="shared" si="0"/>
        <v>54786</v>
      </c>
    </row>
    <row r="15" spans="5:9" x14ac:dyDescent="0.3">
      <c r="E15" s="13" t="s">
        <v>53</v>
      </c>
      <c r="F15" s="44">
        <v>0</v>
      </c>
      <c r="G15" s="44">
        <v>4129</v>
      </c>
      <c r="H15" s="44">
        <f t="shared" si="0"/>
        <v>4129</v>
      </c>
    </row>
    <row r="16" spans="5:9" x14ac:dyDescent="0.3">
      <c r="E16" s="13" t="s">
        <v>54</v>
      </c>
      <c r="F16" s="44">
        <v>119520</v>
      </c>
      <c r="G16" s="44">
        <v>24401</v>
      </c>
      <c r="H16" s="45">
        <f t="shared" si="0"/>
        <v>-95119</v>
      </c>
    </row>
    <row r="17" spans="5:8" x14ac:dyDescent="0.3">
      <c r="E17" s="13" t="s">
        <v>55</v>
      </c>
      <c r="F17" s="44">
        <v>0</v>
      </c>
      <c r="G17" s="44">
        <v>1901</v>
      </c>
      <c r="H17" s="44">
        <f t="shared" si="0"/>
        <v>1901</v>
      </c>
    </row>
    <row r="18" spans="5:8" x14ac:dyDescent="0.3">
      <c r="F18" s="44">
        <f>SUM(F3:F17)</f>
        <v>1302580</v>
      </c>
      <c r="G18" s="44">
        <f>SUM(G3:G17)</f>
        <v>1525139</v>
      </c>
      <c r="H18" s="44">
        <f t="shared" si="0"/>
        <v>222559</v>
      </c>
    </row>
    <row r="20" spans="5:8" x14ac:dyDescent="0.3">
      <c r="F20" s="20">
        <v>1284188</v>
      </c>
    </row>
    <row r="21" spans="5:8" x14ac:dyDescent="0.3">
      <c r="F21" s="42">
        <f>F18-F20</f>
        <v>18392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8DC3F5-1AD0-4D95-9CFE-E62BC3E7F56C}">
  <dimension ref="B1:L17"/>
  <sheetViews>
    <sheetView workbookViewId="0">
      <selection activeCell="E30" sqref="E30"/>
    </sheetView>
  </sheetViews>
  <sheetFormatPr defaultRowHeight="16.5" customHeight="1" x14ac:dyDescent="0.3"/>
  <cols>
    <col min="2" max="2" width="39.44140625" customWidth="1"/>
    <col min="3" max="6" width="15.88671875" customWidth="1"/>
  </cols>
  <sheetData>
    <row r="1" spans="2:12" ht="16.5" customHeight="1" x14ac:dyDescent="0.3">
      <c r="C1" t="s">
        <v>116</v>
      </c>
      <c r="D1" t="s">
        <v>117</v>
      </c>
      <c r="E1">
        <v>199502655</v>
      </c>
      <c r="J1" t="s">
        <v>118</v>
      </c>
      <c r="K1">
        <f>C17/E1*100</f>
        <v>0.92934928610348555</v>
      </c>
      <c r="L1">
        <f>J17/E1*100</f>
        <v>-0.70574505662593823</v>
      </c>
    </row>
    <row r="2" spans="2:12" ht="16.5" customHeight="1" x14ac:dyDescent="0.3">
      <c r="B2" s="60" t="s">
        <v>41</v>
      </c>
      <c r="C2" s="43">
        <v>175447.9</v>
      </c>
      <c r="D2" s="28">
        <v>-0.92</v>
      </c>
      <c r="E2" s="43">
        <v>15567161</v>
      </c>
      <c r="F2">
        <v>1.1270385139589678</v>
      </c>
      <c r="G2">
        <f>F2*I2</f>
        <v>-1.1270385139589678</v>
      </c>
      <c r="H2">
        <v>1.1270385139589678</v>
      </c>
      <c r="I2">
        <v>-1</v>
      </c>
      <c r="J2">
        <f>E2/100*D2</f>
        <v>-143217.8812</v>
      </c>
    </row>
    <row r="3" spans="2:12" ht="16.5" customHeight="1" x14ac:dyDescent="0.3">
      <c r="B3" s="60" t="s">
        <v>42</v>
      </c>
      <c r="C3" s="43">
        <v>46493.04</v>
      </c>
      <c r="D3" s="28">
        <v>-0.9</v>
      </c>
      <c r="E3" s="43">
        <v>3787951</v>
      </c>
      <c r="F3">
        <v>1.2273928569825745</v>
      </c>
      <c r="G3">
        <f t="shared" ref="G3:G16" si="0">F3*I3</f>
        <v>-1.2273928569825745</v>
      </c>
      <c r="H3">
        <v>1.2273928569825745</v>
      </c>
      <c r="I3">
        <v>-1</v>
      </c>
      <c r="J3">
        <f t="shared" ref="J3:J16" si="1">E3/100*D3</f>
        <v>-34091.559000000001</v>
      </c>
    </row>
    <row r="4" spans="2:12" ht="16.5" customHeight="1" x14ac:dyDescent="0.3">
      <c r="B4" s="60" t="s">
        <v>43</v>
      </c>
      <c r="C4" s="43">
        <v>173219.16</v>
      </c>
      <c r="D4" s="28">
        <v>-0.57999999999999996</v>
      </c>
      <c r="E4" s="43">
        <v>19292196</v>
      </c>
      <c r="F4">
        <v>0.89787165753447662</v>
      </c>
      <c r="G4">
        <f t="shared" si="0"/>
        <v>-0.89787165753447662</v>
      </c>
      <c r="H4">
        <v>0.89787165753447662</v>
      </c>
      <c r="I4">
        <v>-1</v>
      </c>
      <c r="J4">
        <f t="shared" si="1"/>
        <v>-111894.73679999998</v>
      </c>
    </row>
    <row r="5" spans="2:12" ht="16.5" customHeight="1" x14ac:dyDescent="0.3">
      <c r="B5" s="60" t="s">
        <v>115</v>
      </c>
      <c r="C5" s="43">
        <v>245143.75</v>
      </c>
      <c r="D5" s="28">
        <v>-0.68</v>
      </c>
      <c r="E5" s="43">
        <v>21920549</v>
      </c>
      <c r="F5">
        <v>1.1183285144911288</v>
      </c>
      <c r="G5">
        <f t="shared" si="0"/>
        <v>-1.1183285144911288</v>
      </c>
      <c r="H5">
        <v>1.1183285144911288</v>
      </c>
      <c r="I5">
        <v>-1</v>
      </c>
      <c r="J5">
        <f t="shared" si="1"/>
        <v>-149059.73320000002</v>
      </c>
    </row>
    <row r="6" spans="2:12" ht="16.5" customHeight="1" x14ac:dyDescent="0.3">
      <c r="B6" s="60" t="s">
        <v>45</v>
      </c>
      <c r="C6" s="43">
        <v>166414.34</v>
      </c>
      <c r="D6" s="28">
        <v>-0.68</v>
      </c>
      <c r="E6" s="43">
        <v>16587981</v>
      </c>
      <c r="F6">
        <v>1.003222393370236</v>
      </c>
      <c r="G6">
        <f t="shared" si="0"/>
        <v>-1.003222393370236</v>
      </c>
      <c r="H6">
        <v>1.003222393370236</v>
      </c>
      <c r="I6">
        <v>-1</v>
      </c>
      <c r="J6">
        <f t="shared" si="1"/>
        <v>-112798.27080000001</v>
      </c>
    </row>
    <row r="7" spans="2:12" ht="16.5" customHeight="1" x14ac:dyDescent="0.3">
      <c r="B7" s="60" t="s">
        <v>46</v>
      </c>
      <c r="C7" s="43">
        <v>132066.59</v>
      </c>
      <c r="D7" s="28">
        <v>-0.31</v>
      </c>
      <c r="E7" s="43">
        <v>24729367</v>
      </c>
      <c r="F7">
        <v>0.53404759612326502</v>
      </c>
      <c r="G7">
        <f t="shared" si="0"/>
        <v>-0.53404759612326502</v>
      </c>
      <c r="H7">
        <v>0.53404759612326502</v>
      </c>
      <c r="I7">
        <v>-1</v>
      </c>
      <c r="J7">
        <f t="shared" si="1"/>
        <v>-76661.037700000001</v>
      </c>
    </row>
    <row r="8" spans="2:12" ht="16.5" customHeight="1" x14ac:dyDescent="0.3">
      <c r="B8" s="60" t="s">
        <v>47</v>
      </c>
      <c r="C8" s="43">
        <v>85377.279999999999</v>
      </c>
      <c r="D8" s="28">
        <v>-0.97</v>
      </c>
      <c r="E8" s="43">
        <v>6726397</v>
      </c>
      <c r="F8">
        <v>1.2692869600173764</v>
      </c>
      <c r="G8">
        <f t="shared" si="0"/>
        <v>-1.2692869600173764</v>
      </c>
      <c r="H8">
        <v>1.2692869600173764</v>
      </c>
      <c r="I8">
        <v>-1</v>
      </c>
      <c r="J8">
        <f t="shared" si="1"/>
        <v>-65246.050900000002</v>
      </c>
    </row>
    <row r="9" spans="2:12" ht="16.5" customHeight="1" x14ac:dyDescent="0.3">
      <c r="B9" s="63" t="s">
        <v>48</v>
      </c>
      <c r="C9" s="43">
        <v>235038.9</v>
      </c>
      <c r="D9" s="28">
        <v>-0.42</v>
      </c>
      <c r="E9" s="43">
        <v>30229268</v>
      </c>
      <c r="F9">
        <v>0.77752097735214765</v>
      </c>
      <c r="G9">
        <f t="shared" si="0"/>
        <v>-0.77752097735214765</v>
      </c>
      <c r="H9">
        <v>0.77752097735214765</v>
      </c>
      <c r="I9">
        <v>-1</v>
      </c>
      <c r="J9">
        <f t="shared" si="1"/>
        <v>-126962.92559999999</v>
      </c>
    </row>
    <row r="10" spans="2:12" ht="16.5" customHeight="1" x14ac:dyDescent="0.3">
      <c r="B10" s="63" t="s">
        <v>49</v>
      </c>
      <c r="C10" s="43">
        <v>146123.65</v>
      </c>
      <c r="D10" s="28">
        <v>-0.75</v>
      </c>
      <c r="E10" s="43">
        <v>16632700</v>
      </c>
      <c r="F10">
        <v>0.87853234892711329</v>
      </c>
      <c r="G10">
        <f t="shared" si="0"/>
        <v>-0.87853234892711329</v>
      </c>
      <c r="H10">
        <v>0.87853234892711329</v>
      </c>
      <c r="I10">
        <v>-1</v>
      </c>
      <c r="J10">
        <f t="shared" si="1"/>
        <v>-124745.25</v>
      </c>
    </row>
    <row r="11" spans="2:12" ht="16.5" customHeight="1" x14ac:dyDescent="0.3">
      <c r="B11" s="63" t="s">
        <v>50</v>
      </c>
      <c r="C11" s="43">
        <v>14922.41</v>
      </c>
      <c r="D11" s="28">
        <v>-0.81</v>
      </c>
      <c r="E11" s="43">
        <v>1178225</v>
      </c>
      <c r="F11">
        <v>1.266516157779711</v>
      </c>
      <c r="G11">
        <f t="shared" si="0"/>
        <v>-1.266516157779711</v>
      </c>
      <c r="H11">
        <v>1.266516157779711</v>
      </c>
      <c r="I11">
        <v>-1</v>
      </c>
      <c r="J11">
        <f t="shared" si="1"/>
        <v>-9543.6225000000013</v>
      </c>
    </row>
    <row r="12" spans="2:12" ht="16.5" customHeight="1" x14ac:dyDescent="0.3">
      <c r="B12" s="63" t="s">
        <v>51</v>
      </c>
      <c r="C12" s="43">
        <v>45634.55</v>
      </c>
      <c r="D12" s="28">
        <v>-0.69</v>
      </c>
      <c r="E12" s="43">
        <v>3227732</v>
      </c>
      <c r="F12">
        <v>1.4138271083225002</v>
      </c>
      <c r="G12">
        <f t="shared" si="0"/>
        <v>-1.4138271083225002</v>
      </c>
      <c r="H12">
        <v>1.4138271083225002</v>
      </c>
      <c r="I12">
        <v>-1</v>
      </c>
      <c r="J12">
        <f t="shared" si="1"/>
        <v>-22271.350799999997</v>
      </c>
    </row>
    <row r="13" spans="2:12" ht="16.5" customHeight="1" x14ac:dyDescent="0.3">
      <c r="B13" s="13" t="s">
        <v>52</v>
      </c>
      <c r="C13" s="64">
        <v>261632.12</v>
      </c>
      <c r="D13" s="28">
        <v>-1.28</v>
      </c>
      <c r="E13" s="43">
        <v>22376025</v>
      </c>
      <c r="F13">
        <v>1.1692520007463345</v>
      </c>
      <c r="G13">
        <f t="shared" si="0"/>
        <v>-1.1692520007463345</v>
      </c>
      <c r="H13">
        <v>1.1692520007463345</v>
      </c>
      <c r="I13">
        <v>-1</v>
      </c>
      <c r="J13">
        <f t="shared" si="1"/>
        <v>-286413.12</v>
      </c>
    </row>
    <row r="14" spans="2:12" ht="16.5" customHeight="1" x14ac:dyDescent="0.3">
      <c r="B14" s="13" t="s">
        <v>53</v>
      </c>
      <c r="C14" s="64">
        <v>11164.140000000001</v>
      </c>
      <c r="D14" s="28">
        <v>-1.1499999999999999</v>
      </c>
      <c r="E14" s="43">
        <v>2296569</v>
      </c>
      <c r="F14">
        <v>0.48612255934831483</v>
      </c>
      <c r="G14">
        <f t="shared" si="0"/>
        <v>-0.48612255934831483</v>
      </c>
      <c r="H14">
        <v>0.48612255934831483</v>
      </c>
      <c r="I14">
        <v>-1</v>
      </c>
      <c r="J14">
        <f t="shared" si="1"/>
        <v>-26410.543499999996</v>
      </c>
    </row>
    <row r="15" spans="2:12" ht="16.5" customHeight="1" x14ac:dyDescent="0.3">
      <c r="B15" s="13" t="s">
        <v>54</v>
      </c>
      <c r="C15" s="61">
        <v>114550.21</v>
      </c>
      <c r="D15" s="28">
        <v>-1.34</v>
      </c>
      <c r="E15" s="43">
        <v>8619285</v>
      </c>
      <c r="F15">
        <v>1.3289989830943054</v>
      </c>
      <c r="G15">
        <f t="shared" si="0"/>
        <v>-1.3289989830943054</v>
      </c>
      <c r="H15">
        <v>1.3289989830943054</v>
      </c>
      <c r="I15">
        <v>-1</v>
      </c>
      <c r="J15">
        <f t="shared" si="1"/>
        <v>-115498.41900000001</v>
      </c>
    </row>
    <row r="16" spans="2:12" ht="16.5" customHeight="1" thickBot="1" x14ac:dyDescent="0.35">
      <c r="B16" s="13" t="s">
        <v>55</v>
      </c>
      <c r="C16" s="62">
        <v>848.46</v>
      </c>
      <c r="D16" s="29">
        <v>-0.05</v>
      </c>
      <c r="E16" s="43">
        <v>6331249</v>
      </c>
      <c r="F16">
        <v>1.3401147230191073E-2</v>
      </c>
      <c r="G16">
        <f t="shared" si="0"/>
        <v>-1.3401147230191073E-2</v>
      </c>
      <c r="H16">
        <v>1.3401147230191073E-2</v>
      </c>
      <c r="I16">
        <v>-1</v>
      </c>
      <c r="J16">
        <f t="shared" si="1"/>
        <v>-3165.6244999999999</v>
      </c>
    </row>
    <row r="17" spans="2:10" ht="16.5" customHeight="1" x14ac:dyDescent="0.3">
      <c r="B17" s="43"/>
      <c r="C17" s="43">
        <f>SUM(C2:C16)</f>
        <v>1854076.4999999998</v>
      </c>
      <c r="D17" s="43"/>
      <c r="E17" s="43"/>
      <c r="F17" s="43"/>
      <c r="J17">
        <f>SUM(J2:J16)</f>
        <v>-1407980.1255000001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EA4D8C-6922-482C-A538-B1A5F746A31F}">
  <dimension ref="A1:V48"/>
  <sheetViews>
    <sheetView topLeftCell="B1" workbookViewId="0">
      <selection activeCell="L25" sqref="L25"/>
    </sheetView>
  </sheetViews>
  <sheetFormatPr defaultRowHeight="14.4" x14ac:dyDescent="0.3"/>
  <cols>
    <col min="3" max="3" width="31.44140625" customWidth="1"/>
    <col min="8" max="8" width="15.88671875" customWidth="1"/>
    <col min="9" max="9" width="14.5546875" customWidth="1"/>
    <col min="13" max="13" width="18.33203125" customWidth="1"/>
    <col min="16" max="16" width="18.44140625" customWidth="1"/>
    <col min="17" max="17" width="23.44140625" customWidth="1"/>
  </cols>
  <sheetData>
    <row r="1" spans="1:19" x14ac:dyDescent="0.3">
      <c r="C1" s="68"/>
      <c r="D1" t="s">
        <v>119</v>
      </c>
      <c r="I1" t="s">
        <v>119</v>
      </c>
      <c r="N1">
        <v>-77056.089999999953</v>
      </c>
    </row>
    <row r="2" spans="1:19" x14ac:dyDescent="0.3">
      <c r="D2" s="43" t="s">
        <v>120</v>
      </c>
      <c r="E2" s="43" t="s">
        <v>120</v>
      </c>
      <c r="F2" s="43" t="s">
        <v>121</v>
      </c>
      <c r="G2" s="43" t="s">
        <v>122</v>
      </c>
      <c r="H2" s="43" t="s">
        <v>123</v>
      </c>
      <c r="M2" t="s">
        <v>132</v>
      </c>
      <c r="P2" t="s">
        <v>131</v>
      </c>
    </row>
    <row r="3" spans="1:19" x14ac:dyDescent="0.3">
      <c r="C3" s="15" t="s">
        <v>58</v>
      </c>
      <c r="D3" s="69">
        <v>928.02</v>
      </c>
      <c r="E3" s="43">
        <v>0</v>
      </c>
      <c r="F3" s="43"/>
      <c r="G3" s="71">
        <v>360.31</v>
      </c>
      <c r="H3" s="71">
        <v>17603.28</v>
      </c>
      <c r="I3" s="72">
        <f>SUM(D3:H3)</f>
        <v>18891.61</v>
      </c>
      <c r="J3">
        <v>-1</v>
      </c>
      <c r="K3">
        <f>I3*J3</f>
        <v>-18891.61</v>
      </c>
      <c r="M3">
        <f>O3*1.17</f>
        <v>-0.21059999999999998</v>
      </c>
      <c r="N3">
        <v>-46882.330939860425</v>
      </c>
      <c r="O3">
        <v>-0.18</v>
      </c>
      <c r="P3">
        <v>22228700.919999998</v>
      </c>
      <c r="Q3" t="e">
        <f>N3-#REF!</f>
        <v>#REF!</v>
      </c>
      <c r="S3">
        <f>I3/P3*100</f>
        <v>8.4987467634703329E-2</v>
      </c>
    </row>
    <row r="4" spans="1:19" x14ac:dyDescent="0.3">
      <c r="C4" s="15" t="s">
        <v>59</v>
      </c>
      <c r="D4" s="43">
        <v>0</v>
      </c>
      <c r="E4" s="43">
        <v>0</v>
      </c>
      <c r="F4" s="43"/>
      <c r="G4" s="43"/>
      <c r="H4" s="43">
        <v>6653.78</v>
      </c>
      <c r="I4" s="72">
        <f t="shared" ref="I4:I20" si="0">SUM(D4:H4)</f>
        <v>6653.78</v>
      </c>
      <c r="J4">
        <v>-1</v>
      </c>
      <c r="K4">
        <f t="shared" ref="K4:K20" si="1">I4*J4</f>
        <v>-6653.78</v>
      </c>
      <c r="M4">
        <f t="shared" ref="M4:M20" si="2">O4*1.17</f>
        <v>-1.17E-2</v>
      </c>
      <c r="N4">
        <f t="shared" ref="N4:N20" si="3">P4/100*M4</f>
        <v>-3682.8848300400005</v>
      </c>
      <c r="O4">
        <v>-0.01</v>
      </c>
      <c r="P4">
        <v>31477648.120000001</v>
      </c>
      <c r="Q4">
        <v>-46882.330939860425</v>
      </c>
      <c r="S4">
        <f t="shared" ref="S4:S20" si="4">I4/P4*100</f>
        <v>2.1138110365279728E-2</v>
      </c>
    </row>
    <row r="5" spans="1:19" x14ac:dyDescent="0.3">
      <c r="C5" s="15" t="s">
        <v>69</v>
      </c>
      <c r="D5" s="43">
        <v>0</v>
      </c>
      <c r="E5" s="43">
        <v>0</v>
      </c>
      <c r="F5" s="43"/>
      <c r="G5" s="43"/>
      <c r="H5" s="43">
        <v>2461.54</v>
      </c>
      <c r="I5" s="72">
        <f t="shared" si="0"/>
        <v>2461.54</v>
      </c>
      <c r="J5">
        <v>-1</v>
      </c>
      <c r="K5">
        <f t="shared" si="1"/>
        <v>-2461.54</v>
      </c>
      <c r="M5">
        <f t="shared" si="2"/>
        <v>-3.5099999999999999E-2</v>
      </c>
      <c r="N5">
        <f t="shared" si="3"/>
        <v>-5142.0014146799995</v>
      </c>
      <c r="O5">
        <v>-0.03</v>
      </c>
      <c r="P5">
        <v>14649576.68</v>
      </c>
      <c r="S5">
        <f t="shared" si="4"/>
        <v>1.6802806345664317E-2</v>
      </c>
    </row>
    <row r="6" spans="1:19" x14ac:dyDescent="0.3">
      <c r="C6" s="15" t="s">
        <v>67</v>
      </c>
      <c r="D6" s="70">
        <v>4646.6000000000004</v>
      </c>
      <c r="E6" s="43">
        <v>0</v>
      </c>
      <c r="F6" s="43"/>
      <c r="G6" s="69">
        <v>18.989999999999998</v>
      </c>
      <c r="H6" s="69">
        <v>9195.5300000000007</v>
      </c>
      <c r="I6" s="72">
        <f t="shared" si="0"/>
        <v>13861.12</v>
      </c>
      <c r="J6">
        <v>-1</v>
      </c>
      <c r="K6">
        <f t="shared" si="1"/>
        <v>-13861.12</v>
      </c>
      <c r="M6">
        <f t="shared" si="2"/>
        <v>-8.1900000000000001E-2</v>
      </c>
      <c r="N6">
        <f t="shared" si="3"/>
        <v>-11910.746508570001</v>
      </c>
      <c r="O6">
        <v>-7.0000000000000007E-2</v>
      </c>
      <c r="P6">
        <v>14543036.029999999</v>
      </c>
      <c r="S6">
        <f t="shared" si="4"/>
        <v>9.5311047647868616E-2</v>
      </c>
    </row>
    <row r="7" spans="1:19" x14ac:dyDescent="0.3">
      <c r="C7" s="15" t="s">
        <v>71</v>
      </c>
      <c r="D7" s="69">
        <v>34.81</v>
      </c>
      <c r="E7" s="43">
        <v>0</v>
      </c>
      <c r="F7" s="69">
        <v>27.69</v>
      </c>
      <c r="G7" s="43"/>
      <c r="H7" s="43">
        <v>7313.58</v>
      </c>
      <c r="I7" s="72">
        <f t="shared" si="0"/>
        <v>7376.08</v>
      </c>
      <c r="J7">
        <v>-1</v>
      </c>
      <c r="K7">
        <f t="shared" si="1"/>
        <v>-7376.08</v>
      </c>
      <c r="M7">
        <f t="shared" si="2"/>
        <v>-0.12869999999999998</v>
      </c>
      <c r="N7">
        <f t="shared" si="3"/>
        <v>-11493.956897279997</v>
      </c>
      <c r="O7">
        <v>-0.11</v>
      </c>
      <c r="P7">
        <v>8930813.4399999995</v>
      </c>
      <c r="S7">
        <f t="shared" si="4"/>
        <v>8.2591356874206517E-2</v>
      </c>
    </row>
    <row r="8" spans="1:19" x14ac:dyDescent="0.3">
      <c r="C8" s="15" t="s">
        <v>63</v>
      </c>
      <c r="D8" s="43"/>
      <c r="E8" s="43"/>
      <c r="F8" s="69"/>
      <c r="G8" s="43"/>
      <c r="H8" s="43">
        <v>698.39</v>
      </c>
      <c r="I8" s="72">
        <f t="shared" si="0"/>
        <v>698.39</v>
      </c>
      <c r="J8">
        <v>-1</v>
      </c>
      <c r="K8">
        <f t="shared" si="1"/>
        <v>-698.39</v>
      </c>
      <c r="M8">
        <f t="shared" si="2"/>
        <v>-3.5099999999999999E-2</v>
      </c>
      <c r="N8">
        <f t="shared" si="3"/>
        <v>-1314.1128698100001</v>
      </c>
      <c r="O8">
        <v>-0.03</v>
      </c>
      <c r="P8">
        <v>3743911.31</v>
      </c>
      <c r="S8">
        <f t="shared" si="4"/>
        <v>1.8654020946879749E-2</v>
      </c>
    </row>
    <row r="9" spans="1:19" x14ac:dyDescent="0.3">
      <c r="C9" s="15" t="s">
        <v>68</v>
      </c>
      <c r="D9" s="70">
        <v>29967.33</v>
      </c>
      <c r="E9" s="69">
        <v>102.9</v>
      </c>
      <c r="F9" s="69">
        <v>820.77</v>
      </c>
      <c r="G9" s="70">
        <v>2940.29</v>
      </c>
      <c r="H9" s="70">
        <v>89326.68</v>
      </c>
      <c r="I9" s="72">
        <f t="shared" si="0"/>
        <v>123157.97</v>
      </c>
      <c r="J9">
        <v>-1</v>
      </c>
      <c r="K9">
        <f t="shared" si="1"/>
        <v>-123157.97</v>
      </c>
      <c r="M9">
        <f t="shared" si="2"/>
        <v>-0.79559999999999997</v>
      </c>
      <c r="N9">
        <f t="shared" si="3"/>
        <v>-114100.81885799998</v>
      </c>
      <c r="O9">
        <v>-0.68</v>
      </c>
      <c r="P9">
        <v>14341480.5</v>
      </c>
      <c r="S9">
        <f t="shared" si="4"/>
        <v>0.85875352966522533</v>
      </c>
    </row>
    <row r="10" spans="1:19" x14ac:dyDescent="0.3">
      <c r="C10" s="15" t="s">
        <v>66</v>
      </c>
      <c r="D10" s="64">
        <v>2922.97</v>
      </c>
      <c r="E10" s="70">
        <v>2234.6799999999998</v>
      </c>
      <c r="F10" s="69"/>
      <c r="G10" s="43"/>
      <c r="H10" s="43">
        <v>71809.98</v>
      </c>
      <c r="I10" s="72">
        <f t="shared" si="0"/>
        <v>76967.62999999999</v>
      </c>
      <c r="J10">
        <v>-1</v>
      </c>
      <c r="K10">
        <v>-77056.089999999953</v>
      </c>
      <c r="M10">
        <f t="shared" si="2"/>
        <v>-0.66689999999999994</v>
      </c>
      <c r="N10">
        <f t="shared" si="3"/>
        <v>-29311.842488759878</v>
      </c>
      <c r="O10">
        <v>-0.56999999999999995</v>
      </c>
      <c r="P10">
        <v>4395238.0399999823</v>
      </c>
      <c r="Q10">
        <f>P10+Q22</f>
        <v>4395238.0399999823</v>
      </c>
      <c r="R10">
        <v>4395238.0399999823</v>
      </c>
      <c r="S10">
        <f t="shared" si="4"/>
        <v>1.7511595344674507</v>
      </c>
    </row>
    <row r="11" spans="1:19" x14ac:dyDescent="0.3">
      <c r="C11" s="15" t="s">
        <v>61</v>
      </c>
      <c r="D11" s="70">
        <v>1726.9</v>
      </c>
      <c r="E11" s="69">
        <v>21.48</v>
      </c>
      <c r="F11" s="69"/>
      <c r="G11" s="70">
        <v>2372.2800000000002</v>
      </c>
      <c r="H11" s="70">
        <v>29715.4</v>
      </c>
      <c r="I11" s="72">
        <f t="shared" si="0"/>
        <v>33836.06</v>
      </c>
      <c r="J11">
        <v>-1</v>
      </c>
      <c r="K11">
        <f t="shared" si="1"/>
        <v>-33836.06</v>
      </c>
      <c r="M11">
        <f t="shared" si="2"/>
        <v>-0.78390000000000004</v>
      </c>
      <c r="N11">
        <f t="shared" si="3"/>
        <v>-99548.948998980006</v>
      </c>
      <c r="O11">
        <v>-0.67</v>
      </c>
      <c r="P11">
        <v>12699189.82</v>
      </c>
      <c r="S11">
        <f t="shared" si="4"/>
        <v>0.26644266665509214</v>
      </c>
    </row>
    <row r="12" spans="1:19" x14ac:dyDescent="0.3">
      <c r="C12" s="15" t="s">
        <v>74</v>
      </c>
      <c r="D12" s="43"/>
      <c r="E12" s="43"/>
      <c r="F12" s="43"/>
      <c r="G12" s="43"/>
      <c r="H12" s="43">
        <v>26605.24</v>
      </c>
      <c r="I12" s="72">
        <f t="shared" si="0"/>
        <v>26605.24</v>
      </c>
      <c r="J12">
        <v>-1</v>
      </c>
      <c r="K12">
        <f t="shared" si="1"/>
        <v>-26605.24</v>
      </c>
      <c r="M12">
        <f t="shared" si="2"/>
        <v>-0.24569999999999997</v>
      </c>
      <c r="N12">
        <f t="shared" si="3"/>
        <v>-13293.1574685</v>
      </c>
      <c r="O12">
        <v>-0.21</v>
      </c>
      <c r="P12">
        <v>5410320.5</v>
      </c>
      <c r="S12">
        <f t="shared" si="4"/>
        <v>0.4917497955989853</v>
      </c>
    </row>
    <row r="13" spans="1:19" x14ac:dyDescent="0.3">
      <c r="A13" s="67"/>
      <c r="C13" s="15" t="s">
        <v>65</v>
      </c>
      <c r="D13" s="70">
        <v>181839.24</v>
      </c>
      <c r="E13" s="43"/>
      <c r="F13" s="43"/>
      <c r="G13" s="70">
        <v>95119.85</v>
      </c>
      <c r="H13" s="70">
        <v>1001228.83</v>
      </c>
      <c r="I13" s="72">
        <f t="shared" si="0"/>
        <v>1278187.92</v>
      </c>
      <c r="J13">
        <v>-1</v>
      </c>
      <c r="K13">
        <f t="shared" si="1"/>
        <v>-1278187.92</v>
      </c>
      <c r="M13">
        <f t="shared" si="2"/>
        <v>-3.9194999999999998</v>
      </c>
      <c r="N13">
        <f t="shared" si="3"/>
        <v>-795934.29091410001</v>
      </c>
      <c r="O13">
        <v>-3.35</v>
      </c>
      <c r="P13">
        <v>20307036.380000003</v>
      </c>
      <c r="S13">
        <f t="shared" si="4"/>
        <v>6.2943104847089453</v>
      </c>
    </row>
    <row r="14" spans="1:19" x14ac:dyDescent="0.3">
      <c r="C14" s="15" t="s">
        <v>64</v>
      </c>
      <c r="D14" s="70">
        <v>2099.8000000000002</v>
      </c>
      <c r="E14" s="43"/>
      <c r="F14" s="43"/>
      <c r="G14" s="64">
        <v>10496.53</v>
      </c>
      <c r="H14" s="64">
        <v>66336.75</v>
      </c>
      <c r="I14" s="72">
        <f t="shared" si="0"/>
        <v>78933.08</v>
      </c>
      <c r="J14">
        <v>-1</v>
      </c>
      <c r="K14">
        <f t="shared" si="1"/>
        <v>-78933.08</v>
      </c>
      <c r="M14">
        <f t="shared" si="2"/>
        <v>-0.70199999999999996</v>
      </c>
      <c r="N14">
        <f t="shared" si="3"/>
        <v>-85142.963575799993</v>
      </c>
      <c r="O14">
        <v>-0.6</v>
      </c>
      <c r="P14">
        <v>12128627.289999999</v>
      </c>
      <c r="S14">
        <f t="shared" si="4"/>
        <v>0.65079978230578484</v>
      </c>
    </row>
    <row r="15" spans="1:19" x14ac:dyDescent="0.3">
      <c r="C15" s="15" t="s">
        <v>60</v>
      </c>
      <c r="D15" s="70">
        <v>10954.05</v>
      </c>
      <c r="E15" s="43"/>
      <c r="F15" s="43"/>
      <c r="G15" s="70">
        <v>2528.44</v>
      </c>
      <c r="H15" s="70">
        <v>68153.440000000002</v>
      </c>
      <c r="I15" s="72">
        <f t="shared" si="0"/>
        <v>81635.930000000008</v>
      </c>
      <c r="J15">
        <v>-1</v>
      </c>
      <c r="K15">
        <f t="shared" si="1"/>
        <v>-81635.930000000008</v>
      </c>
      <c r="M15">
        <f t="shared" si="2"/>
        <v>-1.2636000000000001</v>
      </c>
      <c r="N15">
        <f t="shared" si="3"/>
        <v>-121507.17452640001</v>
      </c>
      <c r="O15">
        <v>-1.08</v>
      </c>
      <c r="P15">
        <v>9615952.4000000004</v>
      </c>
      <c r="S15">
        <f t="shared" si="4"/>
        <v>0.84896354104248684</v>
      </c>
    </row>
    <row r="16" spans="1:19" x14ac:dyDescent="0.3">
      <c r="C16" s="15" t="s">
        <v>112</v>
      </c>
      <c r="D16" s="70">
        <v>1150.08</v>
      </c>
      <c r="E16" s="43"/>
      <c r="F16" s="43"/>
      <c r="G16" s="69">
        <v>24.3</v>
      </c>
      <c r="H16" s="69">
        <v>5241.38</v>
      </c>
      <c r="I16" s="72">
        <f t="shared" si="0"/>
        <v>6415.76</v>
      </c>
      <c r="J16">
        <v>-1</v>
      </c>
      <c r="K16">
        <f t="shared" si="1"/>
        <v>-6415.76</v>
      </c>
      <c r="M16">
        <f t="shared" si="2"/>
        <v>-7.0199999999999999E-2</v>
      </c>
      <c r="N16">
        <f t="shared" si="3"/>
        <v>-2418.38949456</v>
      </c>
      <c r="O16">
        <v>-0.06</v>
      </c>
      <c r="P16">
        <v>3444999.28</v>
      </c>
      <c r="S16">
        <f t="shared" si="4"/>
        <v>0.18623400118678693</v>
      </c>
    </row>
    <row r="17" spans="3:22" x14ac:dyDescent="0.3">
      <c r="C17" s="15" t="s">
        <v>70</v>
      </c>
      <c r="D17" s="43"/>
      <c r="E17" s="43"/>
      <c r="F17" s="43"/>
      <c r="G17" s="43"/>
      <c r="H17" s="43"/>
      <c r="I17" s="72">
        <f t="shared" si="0"/>
        <v>0</v>
      </c>
      <c r="J17">
        <v>-1</v>
      </c>
      <c r="K17">
        <f t="shared" si="1"/>
        <v>0</v>
      </c>
      <c r="M17">
        <f t="shared" si="2"/>
        <v>0</v>
      </c>
      <c r="N17">
        <f t="shared" si="3"/>
        <v>0</v>
      </c>
      <c r="O17">
        <v>0</v>
      </c>
      <c r="P17">
        <v>9080471.2100000009</v>
      </c>
      <c r="S17">
        <f t="shared" si="4"/>
        <v>0</v>
      </c>
    </row>
    <row r="18" spans="3:22" x14ac:dyDescent="0.3">
      <c r="C18" s="15" t="s">
        <v>113</v>
      </c>
      <c r="D18" s="64">
        <v>19110.650000000001</v>
      </c>
      <c r="E18" s="43"/>
      <c r="F18" s="43"/>
      <c r="G18" s="69">
        <v>453.48</v>
      </c>
      <c r="H18" s="69">
        <v>33367.74</v>
      </c>
      <c r="I18" s="72">
        <f t="shared" si="0"/>
        <v>52931.869999999995</v>
      </c>
      <c r="J18">
        <v>-1</v>
      </c>
      <c r="K18">
        <f t="shared" si="1"/>
        <v>-52931.869999999995</v>
      </c>
      <c r="M18">
        <f t="shared" si="2"/>
        <v>-0.35099999999999998</v>
      </c>
      <c r="N18">
        <f t="shared" si="3"/>
        <v>-22481.186820299998</v>
      </c>
      <c r="O18">
        <v>-0.3</v>
      </c>
      <c r="P18">
        <v>6404896.5299999993</v>
      </c>
      <c r="S18">
        <f t="shared" si="4"/>
        <v>0.82642818275161112</v>
      </c>
    </row>
    <row r="19" spans="3:22" x14ac:dyDescent="0.3">
      <c r="C19" s="15" t="s">
        <v>114</v>
      </c>
      <c r="D19" s="69">
        <v>836.17</v>
      </c>
      <c r="E19" s="43"/>
      <c r="F19" s="43"/>
      <c r="G19" s="43"/>
      <c r="H19" s="43">
        <v>58.86</v>
      </c>
      <c r="I19" s="72">
        <f t="shared" si="0"/>
        <v>895.03</v>
      </c>
      <c r="J19">
        <v>-1</v>
      </c>
      <c r="K19">
        <f t="shared" si="1"/>
        <v>-895.03</v>
      </c>
      <c r="M19">
        <f t="shared" si="2"/>
        <v>-2.3400000000000001E-2</v>
      </c>
      <c r="N19">
        <f t="shared" si="3"/>
        <v>-709.14072996000004</v>
      </c>
      <c r="O19">
        <v>-0.02</v>
      </c>
      <c r="P19">
        <v>3030515.94</v>
      </c>
      <c r="S19">
        <f t="shared" si="4"/>
        <v>2.9533914941229446E-2</v>
      </c>
    </row>
    <row r="20" spans="3:22" s="99" customFormat="1" ht="15" thickBot="1" x14ac:dyDescent="0.35">
      <c r="C20" s="94" t="s">
        <v>62</v>
      </c>
      <c r="D20" s="95">
        <v>5507.3</v>
      </c>
      <c r="E20" s="96"/>
      <c r="F20" s="96"/>
      <c r="G20" s="97">
        <v>147.06</v>
      </c>
      <c r="H20" s="97">
        <v>30111.17</v>
      </c>
      <c r="I20" s="98">
        <f t="shared" si="0"/>
        <v>35765.53</v>
      </c>
      <c r="J20" s="99">
        <v>-1</v>
      </c>
      <c r="K20" s="99">
        <f t="shared" si="1"/>
        <v>-35765.53</v>
      </c>
      <c r="M20" s="99">
        <f t="shared" si="2"/>
        <v>-1.4039999999999999</v>
      </c>
      <c r="N20" s="99">
        <f t="shared" si="3"/>
        <v>-43106.1781644</v>
      </c>
      <c r="O20" s="99">
        <v>-1.2</v>
      </c>
      <c r="P20" s="99">
        <v>3070240.61</v>
      </c>
      <c r="R20" s="99">
        <f>N20/P20*100</f>
        <v>-1.4040000000000001</v>
      </c>
      <c r="S20" s="99">
        <f t="shared" si="4"/>
        <v>1.1649096778770054</v>
      </c>
      <c r="T20" s="99">
        <f>I20/P20*100</f>
        <v>1.1649096778770054</v>
      </c>
      <c r="U20" s="99">
        <f>P20/100*M20</f>
        <v>-43106.1781644</v>
      </c>
      <c r="V20" s="99">
        <f>I20/P20*100</f>
        <v>1.1649096778770054</v>
      </c>
    </row>
    <row r="21" spans="3:22" x14ac:dyDescent="0.3">
      <c r="I21" s="72">
        <f>SUM(I3:I20)</f>
        <v>1845274.54</v>
      </c>
      <c r="J21">
        <v>-1</v>
      </c>
      <c r="K21">
        <f>SUM(K3:K20)</f>
        <v>-1845363</v>
      </c>
      <c r="L21">
        <v>1845363</v>
      </c>
      <c r="M21">
        <f>K21+L21</f>
        <v>0</v>
      </c>
      <c r="N21">
        <f>SUM(N3:N20)</f>
        <v>-1407980.1255000003</v>
      </c>
      <c r="P21">
        <f>SUM(P3:P20)</f>
        <v>199502655</v>
      </c>
      <c r="Q21">
        <v>199502655</v>
      </c>
    </row>
    <row r="22" spans="3:22" x14ac:dyDescent="0.3">
      <c r="N22">
        <v>-1383844.5764976998</v>
      </c>
      <c r="Q22">
        <f>Q21-P21</f>
        <v>0</v>
      </c>
    </row>
    <row r="23" spans="3:22" x14ac:dyDescent="0.3">
      <c r="N23">
        <v>-1407911.4386976596</v>
      </c>
      <c r="P23" s="42"/>
      <c r="Q23">
        <f>P21/100*Підрозділи!G8</f>
        <v>-1407980.1255000003</v>
      </c>
    </row>
    <row r="25" spans="3:22" x14ac:dyDescent="0.3">
      <c r="N25">
        <v>-1407980.1255000001</v>
      </c>
    </row>
    <row r="28" spans="3:22" x14ac:dyDescent="0.3">
      <c r="C28" s="43"/>
      <c r="D28" s="43"/>
      <c r="E28" s="43"/>
      <c r="F28" s="43"/>
      <c r="G28" s="43"/>
      <c r="H28" s="43" t="s">
        <v>124</v>
      </c>
      <c r="I28" s="43"/>
      <c r="J28" s="43"/>
      <c r="K28" s="43"/>
      <c r="L28" s="43"/>
      <c r="M28" s="43" t="s">
        <v>125</v>
      </c>
    </row>
    <row r="29" spans="3:22" x14ac:dyDescent="0.3">
      <c r="C29" s="43" t="s">
        <v>126</v>
      </c>
      <c r="D29" s="43" t="s">
        <v>120</v>
      </c>
      <c r="E29" s="43" t="s">
        <v>128</v>
      </c>
      <c r="F29" s="43" t="s">
        <v>122</v>
      </c>
      <c r="G29" s="43" t="s">
        <v>129</v>
      </c>
      <c r="H29" s="43" t="s">
        <v>127</v>
      </c>
      <c r="I29" s="43" t="s">
        <v>120</v>
      </c>
      <c r="J29" s="43" t="s">
        <v>128</v>
      </c>
      <c r="K29" s="43" t="s">
        <v>122</v>
      </c>
      <c r="L29" s="43" t="s">
        <v>129</v>
      </c>
      <c r="M29" s="43"/>
    </row>
    <row r="30" spans="3:22" x14ac:dyDescent="0.3">
      <c r="C30" s="6" t="s">
        <v>58</v>
      </c>
      <c r="D30" s="73">
        <v>588</v>
      </c>
      <c r="E30" s="74">
        <v>56915.360000000001</v>
      </c>
      <c r="F30" s="75">
        <v>-8667.7900000000009</v>
      </c>
      <c r="G30" s="43">
        <f t="shared" ref="G30:G47" si="5">SUM(D30:F30)</f>
        <v>48835.57</v>
      </c>
      <c r="H30" s="43"/>
      <c r="I30" s="76">
        <v>-3575.78</v>
      </c>
      <c r="J30" s="77">
        <v>16537.46</v>
      </c>
      <c r="K30" s="75">
        <v>-9208.11</v>
      </c>
      <c r="L30" s="43">
        <f>SUM(H30:K30)</f>
        <v>3753.5699999999979</v>
      </c>
      <c r="M30" s="78">
        <v>22228700.919999998</v>
      </c>
    </row>
    <row r="31" spans="3:22" x14ac:dyDescent="0.3">
      <c r="C31" s="6" t="s">
        <v>59</v>
      </c>
      <c r="D31" s="79">
        <v>-81841.81</v>
      </c>
      <c r="E31" s="80">
        <v>124.89</v>
      </c>
      <c r="F31" s="75">
        <v>-43661.75</v>
      </c>
      <c r="G31" s="43">
        <f t="shared" si="5"/>
        <v>-125378.67</v>
      </c>
      <c r="H31" s="43"/>
      <c r="K31" s="75">
        <v>-15619.62</v>
      </c>
      <c r="L31" s="43">
        <f t="shared" ref="L31:L47" si="6">SUM(H31:K31)</f>
        <v>-15619.62</v>
      </c>
      <c r="M31" s="81">
        <v>31477648.120000001</v>
      </c>
    </row>
    <row r="32" spans="3:22" x14ac:dyDescent="0.3">
      <c r="C32" s="6" t="s">
        <v>60</v>
      </c>
      <c r="D32" s="79">
        <v>7702.55</v>
      </c>
      <c r="E32" s="74">
        <v>19789.490000000002</v>
      </c>
      <c r="F32" s="75">
        <v>-9453.2900000000009</v>
      </c>
      <c r="G32" s="43">
        <f t="shared" si="5"/>
        <v>18038.75</v>
      </c>
      <c r="H32" s="43"/>
      <c r="I32" s="43"/>
      <c r="J32" s="77">
        <v>2302.25</v>
      </c>
      <c r="K32" s="75">
        <v>-3161.04</v>
      </c>
      <c r="L32" s="43">
        <f t="shared" si="6"/>
        <v>-858.79</v>
      </c>
      <c r="M32" s="78">
        <v>9615952.4000000004</v>
      </c>
    </row>
    <row r="33" spans="3:13" x14ac:dyDescent="0.3">
      <c r="C33" s="6" t="s">
        <v>61</v>
      </c>
      <c r="D33" s="79">
        <v>5823.12</v>
      </c>
      <c r="E33" s="74">
        <v>11870.86</v>
      </c>
      <c r="F33" s="82">
        <v>6755.01</v>
      </c>
      <c r="G33" s="43">
        <f t="shared" si="5"/>
        <v>24448.989999999998</v>
      </c>
      <c r="H33" s="43"/>
      <c r="I33" s="43"/>
      <c r="J33" s="77">
        <v>1885.02</v>
      </c>
      <c r="K33" s="82">
        <v>4151.59</v>
      </c>
      <c r="L33" s="43">
        <f t="shared" si="6"/>
        <v>6036.6100000000006</v>
      </c>
      <c r="M33" s="78">
        <v>12699189.82</v>
      </c>
    </row>
    <row r="34" spans="3:13" x14ac:dyDescent="0.3">
      <c r="C34" s="6" t="s">
        <v>62</v>
      </c>
      <c r="D34" s="79">
        <v>-979.08</v>
      </c>
      <c r="E34" s="83">
        <v>-438.06</v>
      </c>
      <c r="F34" s="82">
        <v>2111.7600000000002</v>
      </c>
      <c r="G34" s="43">
        <f t="shared" si="5"/>
        <v>694.62000000000012</v>
      </c>
      <c r="H34" s="43"/>
      <c r="I34" s="43"/>
      <c r="J34" s="84">
        <v>-782.6</v>
      </c>
      <c r="K34" s="75">
        <v>-2834.4</v>
      </c>
      <c r="L34" s="43">
        <f t="shared" si="6"/>
        <v>-3617</v>
      </c>
      <c r="M34" s="78">
        <v>3070240.61</v>
      </c>
    </row>
    <row r="35" spans="3:13" x14ac:dyDescent="0.3">
      <c r="C35" s="6" t="s">
        <v>63</v>
      </c>
      <c r="D35" s="79">
        <v>1517.51</v>
      </c>
      <c r="E35" s="74">
        <v>2507.6</v>
      </c>
      <c r="F35" s="82">
        <v>8650.18</v>
      </c>
      <c r="G35" s="43">
        <f t="shared" si="5"/>
        <v>12675.29</v>
      </c>
      <c r="H35" s="43"/>
      <c r="I35" s="43"/>
      <c r="J35" s="85">
        <v>889.65</v>
      </c>
      <c r="K35" s="75">
        <v>-3820.39</v>
      </c>
      <c r="L35" s="43">
        <f t="shared" si="6"/>
        <v>-2930.74</v>
      </c>
      <c r="M35" s="78">
        <v>3743911.31</v>
      </c>
    </row>
    <row r="36" spans="3:13" x14ac:dyDescent="0.3">
      <c r="C36" s="6" t="s">
        <v>64</v>
      </c>
      <c r="D36" s="79">
        <v>-7294.4</v>
      </c>
      <c r="E36" s="86">
        <v>-8950.93</v>
      </c>
      <c r="F36" s="75">
        <v>-30214.22</v>
      </c>
      <c r="G36" s="43">
        <f t="shared" si="5"/>
        <v>-46459.55</v>
      </c>
      <c r="H36" s="43"/>
      <c r="I36" s="43"/>
      <c r="J36" s="87">
        <v>-1661.86</v>
      </c>
      <c r="K36" s="75">
        <v>-12713.66</v>
      </c>
      <c r="L36" s="43">
        <f t="shared" si="6"/>
        <v>-14375.52</v>
      </c>
      <c r="M36" s="78">
        <v>12128627.289999999</v>
      </c>
    </row>
    <row r="37" spans="3:13" x14ac:dyDescent="0.3">
      <c r="C37" s="6" t="s">
        <v>65</v>
      </c>
      <c r="D37" s="79">
        <v>-14332.66</v>
      </c>
      <c r="E37" s="83">
        <v>-343.46</v>
      </c>
      <c r="F37" s="75">
        <v>-89083.44</v>
      </c>
      <c r="G37" s="43">
        <f t="shared" si="5"/>
        <v>-103759.56</v>
      </c>
      <c r="H37" s="43"/>
      <c r="I37" s="43"/>
      <c r="J37" s="77">
        <v>5110.51</v>
      </c>
      <c r="K37" s="75">
        <v>-16230.63</v>
      </c>
      <c r="L37" s="43">
        <f t="shared" si="6"/>
        <v>-11120.119999999999</v>
      </c>
      <c r="M37" s="78">
        <v>20307036.380000003</v>
      </c>
    </row>
    <row r="38" spans="3:13" x14ac:dyDescent="0.3">
      <c r="C38" s="6" t="s">
        <v>66</v>
      </c>
      <c r="D38" s="79">
        <v>-44292.56</v>
      </c>
      <c r="E38" s="88"/>
      <c r="F38" s="75">
        <v>-2541.66</v>
      </c>
      <c r="G38" s="43">
        <f t="shared" si="5"/>
        <v>-46834.22</v>
      </c>
      <c r="H38" s="43"/>
      <c r="I38" s="43"/>
      <c r="J38" s="43"/>
      <c r="K38" s="89">
        <v>2248.9</v>
      </c>
      <c r="L38" s="43">
        <f t="shared" si="6"/>
        <v>2248.9</v>
      </c>
      <c r="M38" s="78">
        <v>4411479.99</v>
      </c>
    </row>
    <row r="39" spans="3:13" x14ac:dyDescent="0.3">
      <c r="C39" s="6" t="s">
        <v>67</v>
      </c>
      <c r="D39" s="79">
        <v>9975.2100000000009</v>
      </c>
      <c r="E39" s="86">
        <v>-3491.88</v>
      </c>
      <c r="F39" s="75">
        <v>-18197.240000000002</v>
      </c>
      <c r="G39" s="43">
        <f t="shared" si="5"/>
        <v>-11713.91</v>
      </c>
      <c r="H39" s="43"/>
      <c r="I39" s="43"/>
      <c r="J39" s="85">
        <v>921.81</v>
      </c>
      <c r="K39" s="75">
        <v>-8789.6299999999992</v>
      </c>
      <c r="L39" s="43">
        <f t="shared" si="6"/>
        <v>-7867.82</v>
      </c>
      <c r="M39" s="78">
        <v>14543036.029999999</v>
      </c>
    </row>
    <row r="40" spans="3:13" x14ac:dyDescent="0.3">
      <c r="C40" s="6" t="s">
        <v>68</v>
      </c>
      <c r="D40" s="79">
        <v>-5153.1899999999996</v>
      </c>
      <c r="E40" s="74">
        <v>31695.66</v>
      </c>
      <c r="F40" s="82">
        <v>6634.73</v>
      </c>
      <c r="G40" s="43">
        <f t="shared" si="5"/>
        <v>33177.199999999997</v>
      </c>
      <c r="H40" s="43"/>
      <c r="I40" s="43"/>
      <c r="J40" s="77">
        <v>4303.34</v>
      </c>
      <c r="K40" s="82">
        <v>35459.33</v>
      </c>
      <c r="L40" s="43">
        <f t="shared" si="6"/>
        <v>39762.67</v>
      </c>
      <c r="M40" s="78">
        <v>14341480.5</v>
      </c>
    </row>
    <row r="41" spans="3:13" x14ac:dyDescent="0.3">
      <c r="C41" s="6" t="s">
        <v>69</v>
      </c>
      <c r="D41" s="73"/>
      <c r="E41" s="88"/>
      <c r="F41" s="90">
        <v>381</v>
      </c>
      <c r="G41" s="43">
        <f t="shared" si="5"/>
        <v>381</v>
      </c>
      <c r="H41" s="43"/>
      <c r="I41" s="43"/>
      <c r="J41" s="43"/>
      <c r="K41" s="91"/>
      <c r="L41" s="43">
        <f t="shared" si="6"/>
        <v>0</v>
      </c>
      <c r="M41" s="78">
        <v>14649576.68</v>
      </c>
    </row>
    <row r="42" spans="3:13" x14ac:dyDescent="0.3">
      <c r="C42" s="6" t="s">
        <v>70</v>
      </c>
      <c r="D42" s="73"/>
      <c r="E42" s="88"/>
      <c r="F42" s="75">
        <v>-1024.4000000000001</v>
      </c>
      <c r="G42" s="43">
        <f t="shared" si="5"/>
        <v>-1024.4000000000001</v>
      </c>
      <c r="H42" s="43"/>
      <c r="I42" s="43"/>
      <c r="J42" s="43"/>
      <c r="K42" s="91"/>
      <c r="L42" s="43">
        <f t="shared" si="6"/>
        <v>0</v>
      </c>
      <c r="M42" s="78">
        <v>9080471.2100000009</v>
      </c>
    </row>
    <row r="43" spans="3:13" x14ac:dyDescent="0.3">
      <c r="C43" s="6" t="s">
        <v>71</v>
      </c>
      <c r="D43" s="79">
        <v>2383.3000000000002</v>
      </c>
      <c r="E43" s="83">
        <v>-190.1</v>
      </c>
      <c r="F43" s="75">
        <v>-2349.4</v>
      </c>
      <c r="G43" s="43">
        <f t="shared" si="5"/>
        <v>-156.19999999999982</v>
      </c>
      <c r="H43" s="43"/>
      <c r="I43" s="43"/>
      <c r="J43" s="85">
        <v>229.8</v>
      </c>
      <c r="K43" s="75">
        <v>-3994.3</v>
      </c>
      <c r="L43" s="43">
        <f t="shared" si="6"/>
        <v>-3764.5</v>
      </c>
      <c r="M43" s="78">
        <v>8930813.4399999995</v>
      </c>
    </row>
    <row r="44" spans="3:13" x14ac:dyDescent="0.3">
      <c r="C44" s="6" t="s">
        <v>72</v>
      </c>
      <c r="D44" s="79">
        <v>-13228.16</v>
      </c>
      <c r="E44" s="83">
        <v>-214.99</v>
      </c>
      <c r="F44" s="75">
        <v>-1803.54</v>
      </c>
      <c r="G44" s="43">
        <f t="shared" si="5"/>
        <v>-15246.689999999999</v>
      </c>
      <c r="H44" s="43"/>
      <c r="I44" s="43"/>
      <c r="J44" s="85">
        <v>68.2</v>
      </c>
      <c r="K44" s="75">
        <v>-2204.9</v>
      </c>
      <c r="L44" s="43">
        <f t="shared" si="6"/>
        <v>-2136.7000000000003</v>
      </c>
      <c r="M44" s="78">
        <v>6404896.5299999993</v>
      </c>
    </row>
    <row r="45" spans="3:13" x14ac:dyDescent="0.3">
      <c r="C45" s="6" t="s">
        <v>73</v>
      </c>
      <c r="D45" s="79">
        <v>6397.7900000000009</v>
      </c>
      <c r="E45" s="74">
        <v>1619.67</v>
      </c>
      <c r="F45" s="75">
        <v>-18187.439999999999</v>
      </c>
      <c r="G45" s="43">
        <f t="shared" si="5"/>
        <v>-10169.979999999998</v>
      </c>
      <c r="H45" s="43"/>
      <c r="I45" s="43"/>
      <c r="J45" s="85">
        <v>724.8</v>
      </c>
      <c r="K45" s="90">
        <v>428.8</v>
      </c>
      <c r="L45" s="43">
        <f t="shared" si="6"/>
        <v>1153.5999999999999</v>
      </c>
      <c r="M45" s="78">
        <v>3030515.94</v>
      </c>
    </row>
    <row r="46" spans="3:13" x14ac:dyDescent="0.3">
      <c r="C46" s="6" t="s">
        <v>74</v>
      </c>
      <c r="D46" s="79">
        <v>-3253.6</v>
      </c>
      <c r="E46" s="86">
        <v>-2345.6999999999998</v>
      </c>
      <c r="F46" s="75">
        <v>-4898.1899999999996</v>
      </c>
      <c r="G46" s="43">
        <f t="shared" si="5"/>
        <v>-10497.489999999998</v>
      </c>
      <c r="H46" s="43"/>
      <c r="I46" s="43"/>
      <c r="J46" s="84">
        <v>-376.9</v>
      </c>
      <c r="K46" s="75">
        <v>-2794.93</v>
      </c>
      <c r="L46" s="43">
        <f t="shared" si="6"/>
        <v>-3171.83</v>
      </c>
      <c r="M46" s="78">
        <v>5410320.5</v>
      </c>
    </row>
    <row r="47" spans="3:13" x14ac:dyDescent="0.3">
      <c r="C47" s="6" t="s">
        <v>130</v>
      </c>
      <c r="D47" s="79">
        <v>3382.12</v>
      </c>
      <c r="E47" s="80">
        <v>614.98</v>
      </c>
      <c r="F47" s="75">
        <v>-9453.2900000000009</v>
      </c>
      <c r="G47" s="43">
        <f t="shared" si="5"/>
        <v>-5456.1900000000005</v>
      </c>
      <c r="H47" s="43"/>
      <c r="I47" s="43"/>
      <c r="J47" s="85">
        <v>140.32</v>
      </c>
      <c r="K47" s="75">
        <v>-3095.57</v>
      </c>
      <c r="L47" s="43">
        <f t="shared" si="6"/>
        <v>-2955.25</v>
      </c>
      <c r="M47" s="78">
        <v>3444999.28</v>
      </c>
    </row>
    <row r="48" spans="3:13" x14ac:dyDescent="0.3">
      <c r="M48" s="58">
        <f>SUM(M30:M47)</f>
        <v>199518896.94999999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7</vt:i4>
      </vt:variant>
    </vt:vector>
  </HeadingPairs>
  <TitlesOfParts>
    <vt:vector size="7" baseType="lpstr">
      <vt:lpstr>Мережа</vt:lpstr>
      <vt:lpstr>Лист1</vt:lpstr>
      <vt:lpstr>Підрозділи</vt:lpstr>
      <vt:lpstr>Категорії</vt:lpstr>
      <vt:lpstr>Аркуш1</vt:lpstr>
      <vt:lpstr>Аркуш2</vt:lpstr>
      <vt:lpstr>Аркуш3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Ростислав Соколов</dc:creator>
  <cp:lastModifiedBy>Володимир Литвиновський</cp:lastModifiedBy>
  <dcterms:created xsi:type="dcterms:W3CDTF">2025-06-13T10:53:28Z</dcterms:created>
  <dcterms:modified xsi:type="dcterms:W3CDTF">2025-08-13T09:28:09Z</dcterms:modified>
</cp:coreProperties>
</file>